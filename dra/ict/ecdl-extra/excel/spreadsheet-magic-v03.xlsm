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120" windowHeight="8025" activeTab="6"/>
  </bookViews>
  <sheets>
    <sheet name="Vocab" sheetId="2" r:id="rId1"/>
    <sheet name="Primark" sheetId="6" r:id="rId2"/>
    <sheet name="Basic Formula" sheetId="1" r:id="rId3"/>
    <sheet name="Shopping List" sheetId="5" r:id="rId4"/>
    <sheet name="Functions" sheetId="7" r:id="rId5"/>
    <sheet name="IF function" sheetId="8" r:id="rId6"/>
    <sheet name="Absolute Reference" sheetId="9" r:id="rId7"/>
    <sheet name="Summary" sheetId="3" r:id="rId8"/>
  </sheets>
  <functionGroups builtInGroupCount="17"/>
  <calcPr calcId="145621"/>
</workbook>
</file>

<file path=xl/calcChain.xml><?xml version="1.0" encoding="utf-8"?>
<calcChain xmlns="http://schemas.openxmlformats.org/spreadsheetml/2006/main">
  <c r="E11" i="9" l="1"/>
  <c r="E4" i="9" s="1"/>
  <c r="C6" i="3"/>
  <c r="C5" i="3"/>
  <c r="C4" i="3"/>
  <c r="C3" i="3"/>
  <c r="B4" i="3"/>
  <c r="J2" i="9"/>
  <c r="D5" i="9"/>
  <c r="N1" i="9"/>
  <c r="D1" i="9" s="1"/>
  <c r="D1" i="2"/>
  <c r="O1" i="2"/>
  <c r="N1" i="7"/>
  <c r="D1" i="7" s="1"/>
  <c r="N1" i="8"/>
  <c r="C7" i="3" s="1"/>
  <c r="D1" i="5"/>
  <c r="N1" i="1"/>
  <c r="D1" i="1"/>
  <c r="K11" i="5"/>
  <c r="N1" i="5"/>
  <c r="I20" i="8"/>
  <c r="I19" i="8"/>
  <c r="I18" i="8"/>
  <c r="I17" i="8"/>
  <c r="C9" i="8"/>
  <c r="I21" i="8" s="1"/>
  <c r="L12" i="9"/>
  <c r="H17" i="9"/>
  <c r="H12" i="9"/>
  <c r="H16" i="9"/>
  <c r="H15" i="9"/>
  <c r="H13" i="9"/>
  <c r="H14" i="9"/>
  <c r="H11" i="9"/>
  <c r="H4" i="9"/>
  <c r="H7" i="9"/>
  <c r="L15" i="9"/>
  <c r="L11" i="9"/>
  <c r="H8" i="9"/>
  <c r="H6" i="9"/>
  <c r="L8" i="9"/>
  <c r="L10" i="9"/>
  <c r="L7" i="9"/>
  <c r="L16" i="9"/>
  <c r="L9" i="9"/>
  <c r="L4" i="9"/>
  <c r="L14" i="9"/>
  <c r="L6" i="9"/>
  <c r="H5" i="9"/>
  <c r="L13" i="9"/>
  <c r="L5" i="9"/>
  <c r="L12" i="5"/>
  <c r="L8" i="5"/>
  <c r="L6" i="5"/>
  <c r="L9" i="5"/>
  <c r="L11" i="5"/>
  <c r="L7" i="5"/>
  <c r="L10" i="5"/>
  <c r="H17" i="8"/>
  <c r="H20" i="8"/>
  <c r="H19" i="8"/>
  <c r="H18" i="8"/>
  <c r="H11" i="8"/>
  <c r="H12" i="8"/>
  <c r="H10" i="8"/>
  <c r="H9" i="8"/>
  <c r="H5" i="8"/>
  <c r="H6" i="8"/>
  <c r="H4" i="8"/>
  <c r="H3" i="8"/>
  <c r="E6" i="9" l="1"/>
  <c r="I6" i="9" s="1"/>
  <c r="K6" i="9" s="1"/>
  <c r="E7" i="9"/>
  <c r="I7" i="9" s="1"/>
  <c r="K7" i="9" s="1"/>
  <c r="I13" i="9"/>
  <c r="K13" i="9" s="1"/>
  <c r="I15" i="9"/>
  <c r="K15" i="9" s="1"/>
  <c r="C8" i="3"/>
  <c r="C1" i="3" s="1"/>
  <c r="I5" i="9"/>
  <c r="K5" i="9" s="1"/>
  <c r="I11" i="9"/>
  <c r="K11" i="9" s="1"/>
  <c r="I16" i="9"/>
  <c r="K16" i="9" s="1"/>
  <c r="I12" i="9"/>
  <c r="K12" i="9" s="1"/>
  <c r="D1" i="8"/>
  <c r="I17" i="9"/>
  <c r="K17" i="9" s="1"/>
  <c r="I14" i="9"/>
  <c r="K14" i="9" s="1"/>
  <c r="D6" i="9"/>
  <c r="D7" i="9" s="1"/>
  <c r="D8" i="9" s="1"/>
  <c r="I8" i="9" s="1"/>
  <c r="K8" i="9" s="1"/>
  <c r="I4" i="9"/>
  <c r="K4" i="9" s="1"/>
  <c r="E4" i="8"/>
  <c r="E3" i="8"/>
  <c r="E5" i="8"/>
  <c r="E6" i="8"/>
  <c r="E11" i="8"/>
  <c r="E19" i="8" s="1"/>
  <c r="K19" i="8" s="1"/>
  <c r="E9" i="8"/>
  <c r="I9" i="8" s="1"/>
  <c r="K21" i="8"/>
  <c r="I9" i="7"/>
  <c r="A3" i="7"/>
  <c r="I3" i="1"/>
  <c r="I6" i="8" l="1"/>
  <c r="K6" i="8" s="1"/>
  <c r="I5" i="8"/>
  <c r="K5" i="8" s="1"/>
  <c r="I3" i="8"/>
  <c r="K3" i="8" s="1"/>
  <c r="I4" i="8"/>
  <c r="K4" i="8" s="1"/>
  <c r="I11" i="8"/>
  <c r="E12" i="8"/>
  <c r="E20" i="8" s="1"/>
  <c r="K20" i="8" s="1"/>
  <c r="E10" i="8"/>
  <c r="E17" i="8"/>
  <c r="K17" i="8" s="1"/>
  <c r="I7" i="8"/>
  <c r="I8" i="8"/>
  <c r="L20" i="8"/>
  <c r="L18" i="8"/>
  <c r="L19" i="8"/>
  <c r="L17" i="8"/>
  <c r="L4" i="8"/>
  <c r="L5" i="8"/>
  <c r="L6" i="8"/>
  <c r="L3" i="8"/>
  <c r="L21" i="8"/>
  <c r="L12" i="8"/>
  <c r="L11" i="8"/>
  <c r="L10" i="8"/>
  <c r="L9" i="8"/>
  <c r="L7" i="8"/>
  <c r="I12" i="8" l="1"/>
  <c r="K12" i="8" s="1"/>
  <c r="E18" i="8"/>
  <c r="K18" i="8" s="1"/>
  <c r="I10" i="8"/>
  <c r="K10" i="8" s="1"/>
  <c r="K9" i="8"/>
  <c r="K11" i="8"/>
  <c r="C21" i="7"/>
  <c r="A21" i="7" s="1"/>
  <c r="C4" i="7"/>
  <c r="H15" i="7"/>
  <c r="H6" i="7"/>
  <c r="L17" i="7"/>
  <c r="H13" i="7"/>
  <c r="H11" i="7"/>
  <c r="H9" i="7"/>
  <c r="L11" i="7"/>
  <c r="H10" i="7"/>
  <c r="L10" i="7"/>
  <c r="L5" i="7"/>
  <c r="H5" i="7"/>
  <c r="L9" i="7"/>
  <c r="L15" i="7"/>
  <c r="L14" i="7"/>
  <c r="L13" i="7"/>
  <c r="H18" i="7"/>
  <c r="H4" i="7"/>
  <c r="L8" i="7"/>
  <c r="L18" i="7"/>
  <c r="L7" i="7"/>
  <c r="H16" i="7"/>
  <c r="L6" i="7"/>
  <c r="L4" i="7"/>
  <c r="L16" i="7"/>
  <c r="H14" i="7"/>
  <c r="H8" i="7"/>
  <c r="L3" i="7"/>
  <c r="H3" i="7"/>
  <c r="C5" i="7" l="1"/>
  <c r="C6" i="7" l="1"/>
  <c r="C22" i="7"/>
  <c r="C20" i="7"/>
  <c r="I12" i="5"/>
  <c r="L3" i="1"/>
  <c r="C7" i="7" l="1"/>
  <c r="A7" i="7" s="1"/>
  <c r="I15" i="7"/>
  <c r="K15" i="7" s="1"/>
  <c r="I14" i="7"/>
  <c r="K14" i="7" s="1"/>
  <c r="I13" i="7"/>
  <c r="K13" i="7" s="1"/>
  <c r="I16" i="7"/>
  <c r="K16" i="7" s="1"/>
  <c r="I5" i="5"/>
  <c r="C8" i="5"/>
  <c r="I8" i="5"/>
  <c r="C7" i="5"/>
  <c r="I7" i="5" s="1"/>
  <c r="C6" i="5"/>
  <c r="C9" i="5" s="1"/>
  <c r="I9" i="5" s="1"/>
  <c r="C5" i="1"/>
  <c r="I5" i="1" s="1"/>
  <c r="N21" i="2"/>
  <c r="N23" i="2"/>
  <c r="N17" i="2"/>
  <c r="N14" i="2"/>
  <c r="N12" i="2"/>
  <c r="N10" i="2"/>
  <c r="N3" i="2"/>
  <c r="C17" i="1"/>
  <c r="I17" i="1"/>
  <c r="C9" i="1"/>
  <c r="C13" i="1" s="1"/>
  <c r="C7" i="1"/>
  <c r="I7" i="1"/>
  <c r="H9" i="1"/>
  <c r="L9" i="1"/>
  <c r="L13" i="1"/>
  <c r="H3" i="1"/>
  <c r="H17" i="1"/>
  <c r="H15" i="1"/>
  <c r="L17" i="1"/>
  <c r="H11" i="1"/>
  <c r="H7" i="1"/>
  <c r="H13" i="1"/>
  <c r="L5" i="1"/>
  <c r="L7" i="1"/>
  <c r="H5" i="1"/>
  <c r="L15" i="1"/>
  <c r="L11" i="1"/>
  <c r="H12" i="5"/>
  <c r="H8" i="5"/>
  <c r="H6" i="5"/>
  <c r="H10" i="5"/>
  <c r="H7" i="5"/>
  <c r="H9" i="5"/>
  <c r="L5" i="5"/>
  <c r="H5" i="5"/>
  <c r="K5" i="5" l="1"/>
  <c r="K12" i="5"/>
  <c r="K9" i="5"/>
  <c r="K7" i="5"/>
  <c r="K8" i="5"/>
  <c r="E15" i="1"/>
  <c r="I15" i="1" s="1"/>
  <c r="K15" i="1" s="1"/>
  <c r="I13" i="1"/>
  <c r="C8" i="7"/>
  <c r="N1" i="2"/>
  <c r="B3" i="3" s="1"/>
  <c r="I9" i="1"/>
  <c r="K9" i="1" s="1"/>
  <c r="C11" i="1"/>
  <c r="I11" i="1" s="1"/>
  <c r="C10" i="5"/>
  <c r="I10" i="5" s="1"/>
  <c r="K10" i="5" s="1"/>
  <c r="K7" i="1"/>
  <c r="K11" i="1"/>
  <c r="K13" i="1"/>
  <c r="K5" i="1"/>
  <c r="K3" i="1"/>
  <c r="K17" i="1"/>
  <c r="I6" i="5"/>
  <c r="K6" i="5" s="1"/>
  <c r="K1" i="5" l="1"/>
  <c r="C9" i="7"/>
  <c r="A9" i="7" s="1"/>
  <c r="K1" i="1"/>
  <c r="B5" i="3" s="1"/>
  <c r="C10" i="7" l="1"/>
  <c r="K1" i="9" l="1"/>
  <c r="B8" i="3" s="1"/>
  <c r="C11" i="7"/>
  <c r="A11" i="7" s="1"/>
  <c r="C12" i="7" l="1"/>
  <c r="C13" i="7" l="1"/>
  <c r="C14" i="7" s="1"/>
  <c r="C15" i="7" s="1"/>
  <c r="C16" i="7" s="1"/>
  <c r="C17" i="7" s="1"/>
  <c r="A17" i="7" s="1"/>
  <c r="I18" i="7" s="1"/>
  <c r="K18" i="7" s="1"/>
  <c r="I5" i="7" l="1"/>
  <c r="K5" i="7" s="1"/>
  <c r="I11" i="7"/>
  <c r="K11" i="7" s="1"/>
  <c r="I10" i="7"/>
  <c r="K10" i="7" s="1"/>
  <c r="I6" i="7"/>
  <c r="K6" i="7" s="1"/>
  <c r="I3" i="7"/>
  <c r="K3" i="7" s="1"/>
  <c r="K9" i="7"/>
  <c r="I4" i="7"/>
  <c r="K4" i="7" s="1"/>
  <c r="I8" i="7"/>
  <c r="K8" i="7" s="1"/>
  <c r="K1" i="8" l="1"/>
  <c r="B7" i="3" s="1"/>
  <c r="K1" i="7"/>
  <c r="B6" i="3" s="1"/>
  <c r="B1" i="3" l="1"/>
  <c r="B1" i="8" l="1"/>
  <c r="B1" i="9"/>
  <c r="B1" i="5"/>
  <c r="B1" i="1"/>
  <c r="B1" i="2"/>
  <c r="B1" i="7"/>
</calcChain>
</file>

<file path=xl/sharedStrings.xml><?xml version="1.0" encoding="utf-8"?>
<sst xmlns="http://schemas.openxmlformats.org/spreadsheetml/2006/main" count="174" uniqueCount="140">
  <si>
    <t>=</t>
  </si>
  <si>
    <t>x</t>
  </si>
  <si>
    <t>-</t>
  </si>
  <si>
    <t>divide by</t>
  </si>
  <si>
    <t>+</t>
  </si>
  <si>
    <t xml:space="preserve">squared </t>
  </si>
  <si>
    <t>1)</t>
  </si>
  <si>
    <t>2)</t>
  </si>
  <si>
    <t>3)</t>
  </si>
  <si>
    <t>4)</t>
  </si>
  <si>
    <t>5)</t>
  </si>
  <si>
    <t>6)</t>
  </si>
  <si>
    <t>7)</t>
  </si>
  <si>
    <t>Total</t>
  </si>
  <si>
    <t xml:space="preserve">Row </t>
  </si>
  <si>
    <t>Column</t>
  </si>
  <si>
    <t xml:space="preserve">Worksheet </t>
  </si>
  <si>
    <t>Label</t>
  </si>
  <si>
    <t>Value</t>
  </si>
  <si>
    <t>Cell Reference</t>
  </si>
  <si>
    <t>Vocab</t>
  </si>
  <si>
    <t>Basic Formula</t>
  </si>
  <si>
    <t>This Red area is a</t>
  </si>
  <si>
    <t xml:space="preserve">This blue area is a </t>
  </si>
  <si>
    <t>Cell Reference =&gt;</t>
  </si>
  <si>
    <t>Score</t>
  </si>
  <si>
    <t>Person</t>
  </si>
  <si>
    <t>Jane</t>
  </si>
  <si>
    <t>Sarah</t>
  </si>
  <si>
    <t>Josh</t>
  </si>
  <si>
    <t>Choose…</t>
  </si>
  <si>
    <t>Find The Following Words</t>
  </si>
  <si>
    <t>The Tabs show the name of the</t>
  </si>
  <si>
    <t>Grid Lines</t>
  </si>
  <si>
    <t>B20</t>
  </si>
  <si>
    <t xml:space="preserve">B20 is a </t>
  </si>
  <si>
    <t>3K</t>
  </si>
  <si>
    <t>K3</t>
  </si>
  <si>
    <t>A number is called a</t>
  </si>
  <si>
    <t>Text is called a</t>
  </si>
  <si>
    <t>Price</t>
  </si>
  <si>
    <t>Item</t>
  </si>
  <si>
    <t>Peanuts</t>
  </si>
  <si>
    <t>Cashew Nuts</t>
  </si>
  <si>
    <t>Quantity (grams)</t>
  </si>
  <si>
    <t>Almonds</t>
  </si>
  <si>
    <t>Walnuts</t>
  </si>
  <si>
    <t>Macademia Nuts</t>
  </si>
  <si>
    <t>Brazil Nuts</t>
  </si>
  <si>
    <t>TOTAL</t>
  </si>
  <si>
    <t>Build your spreadsheet here</t>
  </si>
  <si>
    <t>Functions</t>
  </si>
  <si>
    <t>Historical Data</t>
  </si>
  <si>
    <t>Brighton</t>
  </si>
  <si>
    <t>Eastboune</t>
  </si>
  <si>
    <t>Littlehampton</t>
  </si>
  <si>
    <t>Bognor</t>
  </si>
  <si>
    <t>Bournmouth</t>
  </si>
  <si>
    <t>Tynemouth</t>
  </si>
  <si>
    <t>Bridlington</t>
  </si>
  <si>
    <t>Scarborough</t>
  </si>
  <si>
    <t>Nuneton</t>
  </si>
  <si>
    <t>Wellingborough</t>
  </si>
  <si>
    <t>Market Harborough</t>
  </si>
  <si>
    <t>London</t>
  </si>
  <si>
    <t>Crawley</t>
  </si>
  <si>
    <t>Canary Warf</t>
  </si>
  <si>
    <t>Malaga</t>
  </si>
  <si>
    <t>Abudabi</t>
  </si>
  <si>
    <t>Nantucket</t>
  </si>
  <si>
    <t>Average</t>
  </si>
  <si>
    <t>Minimum</t>
  </si>
  <si>
    <t>Maximum</t>
  </si>
  <si>
    <t>No. of Data points</t>
  </si>
  <si>
    <t>UK Average</t>
  </si>
  <si>
    <t>UK Minimum</t>
  </si>
  <si>
    <t>UK Maximum</t>
  </si>
  <si>
    <t>UK No. of Data points</t>
  </si>
  <si>
    <t>Int. Average</t>
  </si>
  <si>
    <t>Int. Minimum</t>
  </si>
  <si>
    <t>Int. Maximum</t>
  </si>
  <si>
    <t>Int. No. of Data points</t>
  </si>
  <si>
    <t>No Of Historical Data</t>
  </si>
  <si>
    <t>Ditchling</t>
  </si>
  <si>
    <t>Hampton Court</t>
  </si>
  <si>
    <t>Southend</t>
  </si>
  <si>
    <t>Hours of Sunlight</t>
  </si>
  <si>
    <t>Shopping List</t>
  </si>
  <si>
    <t>Sue</t>
  </si>
  <si>
    <t>Sean</t>
  </si>
  <si>
    <t>Rebecca</t>
  </si>
  <si>
    <t>Steve</t>
  </si>
  <si>
    <t>Paul</t>
  </si>
  <si>
    <t>John</t>
  </si>
  <si>
    <t>George</t>
  </si>
  <si>
    <t>Ringo</t>
  </si>
  <si>
    <t>yes</t>
  </si>
  <si>
    <t>no</t>
  </si>
  <si>
    <t>Are they eating 5 a day?</t>
  </si>
  <si>
    <t>No. of Fruit &amp; Veg</t>
  </si>
  <si>
    <t>Name</t>
  </si>
  <si>
    <t>5 a Day? Yes/No</t>
  </si>
  <si>
    <t>Pass/Fail</t>
  </si>
  <si>
    <t>Exam Marks</t>
  </si>
  <si>
    <t>Pass</t>
  </si>
  <si>
    <t>Fail</t>
  </si>
  <si>
    <t>Pass Mark</t>
  </si>
  <si>
    <t>Write formulas in the yellow cells to complete the sections</t>
  </si>
  <si>
    <t>Did they pass their exams?</t>
  </si>
  <si>
    <t>"Traffic Light" the following students</t>
  </si>
  <si>
    <t>Green/ Amber/Red</t>
  </si>
  <si>
    <t>Extension Task: (nested IF)</t>
  </si>
  <si>
    <t>Red if less than</t>
  </si>
  <si>
    <t>Amber if less than</t>
  </si>
  <si>
    <t>Green if more than</t>
  </si>
  <si>
    <t>IF Functions</t>
  </si>
  <si>
    <t xml:space="preserve">Out of </t>
  </si>
  <si>
    <t>8)</t>
  </si>
  <si>
    <t>Quantity</t>
  </si>
  <si>
    <t>Subtotal</t>
  </si>
  <si>
    <t>VAT RATE -&gt;</t>
  </si>
  <si>
    <t>VAT</t>
  </si>
  <si>
    <t>Orange</t>
  </si>
  <si>
    <t>02</t>
  </si>
  <si>
    <t>Vodafone</t>
  </si>
  <si>
    <t>EE</t>
  </si>
  <si>
    <t>T-Mobile</t>
  </si>
  <si>
    <t>Other</t>
  </si>
  <si>
    <t>Network</t>
  </si>
  <si>
    <t>Students on Network</t>
  </si>
  <si>
    <t>% of Students on Network</t>
  </si>
  <si>
    <t>Absolute Reference</t>
  </si>
  <si>
    <t>Lentils</t>
  </si>
  <si>
    <t>Kidney Beans</t>
  </si>
  <si>
    <t>Chick Peas</t>
  </si>
  <si>
    <t>Rosocco Beans</t>
  </si>
  <si>
    <t>Magic Beans</t>
  </si>
  <si>
    <t>Calculate the Subtotal and VAT for each of the following items</t>
  </si>
  <si>
    <t>Write formula in the bright yellow boxes to answer the questions</t>
  </si>
  <si>
    <t>Shopping List. Write formula in the bright yellow boxes to calculate how much money is spent in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</si>
</sst>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£&quot;* #,##0.00_-;\-&quot;£&quot;* #,##0.00_-;_-&quot;£&quot;* &quot;-&quot;??_-;_-@_-"/>
    <numFmt numFmtId="164" formatCode="_(&quot;$&quot;\ * #,##0.00_);_(&quot;$&quot;\ * \(#,##0.00\);_(&quot;$&quot;\ * &quot;-&quot;??_);_(@_)"/>
    <numFmt numFmtId="165" formatCode="0.0%"/>
    <numFmt numFmtId="166" formatCode="&quot;£&quot;#,##0.00"/>
    <numFmt numFmtId="167" formatCode="0.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5"/>
      <name val="Calibri"/>
      <family val="2"/>
    </font>
    <font>
      <sz val="48"/>
      <color indexed="8"/>
      <name val="Calibri"/>
      <family val="2"/>
    </font>
    <font>
      <sz val="11"/>
      <name val="Calibri"/>
      <family val="2"/>
    </font>
    <font>
      <b/>
      <sz val="16"/>
      <color indexed="8"/>
      <name val="Calibri"/>
      <family val="2"/>
    </font>
    <font>
      <sz val="28"/>
      <color indexed="8"/>
      <name val="Calibri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7" fillId="6" borderId="0" xfId="0" applyFont="1" applyFill="1"/>
    <xf numFmtId="0" fontId="4" fillId="7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3" fillId="7" borderId="0" xfId="0" applyFont="1" applyFill="1"/>
    <xf numFmtId="0" fontId="4" fillId="8" borderId="0" xfId="0" applyFont="1" applyFill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3" fillId="8" borderId="0" xfId="0" applyFont="1" applyFill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5" fillId="9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3" borderId="0" xfId="0" applyFont="1" applyFill="1" applyAlignment="1" applyProtection="1">
      <alignment horizontal="center"/>
      <protection locked="0"/>
    </xf>
    <xf numFmtId="44" fontId="9" fillId="5" borderId="0" xfId="1" applyNumberFormat="1" applyFont="1" applyFill="1"/>
    <xf numFmtId="0" fontId="0" fillId="9" borderId="0" xfId="0" applyFill="1" applyProtection="1">
      <protection locked="0"/>
    </xf>
    <xf numFmtId="0" fontId="10" fillId="0" borderId="0" xfId="0" applyFont="1" applyAlignment="1">
      <alignment horizontal="center"/>
    </xf>
    <xf numFmtId="1" fontId="0" fillId="5" borderId="0" xfId="0" applyNumberFormat="1" applyFill="1"/>
    <xf numFmtId="44" fontId="9" fillId="0" borderId="0" xfId="1" applyNumberFormat="1" applyFont="1" applyProtection="1">
      <protection locked="0"/>
    </xf>
    <xf numFmtId="44" fontId="0" fillId="9" borderId="0" xfId="1" applyNumberFormat="1" applyFont="1" applyFill="1" applyProtection="1">
      <protection locked="0"/>
    </xf>
    <xf numFmtId="0" fontId="3" fillId="0" borderId="0" xfId="0" applyFont="1" applyFill="1"/>
    <xf numFmtId="0" fontId="0" fillId="0" borderId="0" xfId="0" applyProtection="1"/>
    <xf numFmtId="0" fontId="6" fillId="10" borderId="0" xfId="0" applyFont="1" applyFill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2" fillId="3" borderId="0" xfId="0" applyFont="1" applyFill="1" applyProtection="1">
      <protection locked="0"/>
    </xf>
    <xf numFmtId="2" fontId="0" fillId="5" borderId="0" xfId="0" applyNumberFormat="1" applyFill="1"/>
    <xf numFmtId="2" fontId="0" fillId="0" borderId="0" xfId="0" applyNumberFormat="1"/>
    <xf numFmtId="0" fontId="0" fillId="7" borderId="0" xfId="0" applyFill="1" applyAlignment="1">
      <alignment horizontal="left"/>
    </xf>
    <xf numFmtId="0" fontId="0" fillId="0" borderId="0" xfId="0" applyAlignment="1">
      <alignment horizontal="left"/>
    </xf>
    <xf numFmtId="2" fontId="0" fillId="9" borderId="0" xfId="0" applyNumberFormat="1" applyFill="1" applyProtection="1">
      <protection locked="0"/>
    </xf>
    <xf numFmtId="1" fontId="0" fillId="0" borderId="0" xfId="0" applyNumberFormat="1"/>
    <xf numFmtId="0" fontId="1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0" xfId="0" applyFont="1" applyAlignment="1">
      <alignment horizontal="center"/>
    </xf>
    <xf numFmtId="0" fontId="0" fillId="11" borderId="0" xfId="0" applyFill="1" applyAlignment="1">
      <alignment horizontal="left"/>
    </xf>
    <xf numFmtId="1" fontId="0" fillId="11" borderId="0" xfId="0" applyNumberFormat="1" applyFill="1"/>
    <xf numFmtId="0" fontId="0" fillId="11" borderId="0" xfId="0" applyFill="1" applyAlignment="1">
      <alignment horizontal="center"/>
    </xf>
    <xf numFmtId="0" fontId="0" fillId="11" borderId="0" xfId="0" applyFill="1"/>
    <xf numFmtId="0" fontId="4" fillId="7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1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horizontal="left"/>
    </xf>
    <xf numFmtId="0" fontId="17" fillId="6" borderId="0" xfId="0" applyFont="1" applyFill="1" applyAlignment="1">
      <alignment horizontal="right"/>
    </xf>
    <xf numFmtId="0" fontId="12" fillId="6" borderId="0" xfId="0" applyFont="1" applyFill="1" applyAlignment="1">
      <alignment horizontal="left"/>
    </xf>
    <xf numFmtId="165" fontId="0" fillId="13" borderId="0" xfId="2" applyNumberFormat="1" applyFont="1" applyFill="1" applyProtection="1">
      <protection locked="0"/>
    </xf>
    <xf numFmtId="2" fontId="0" fillId="11" borderId="0" xfId="0" applyNumberFormat="1" applyFill="1"/>
    <xf numFmtId="2" fontId="14" fillId="12" borderId="0" xfId="0" applyNumberFormat="1" applyFont="1" applyFill="1"/>
    <xf numFmtId="0" fontId="14" fillId="12" borderId="0" xfId="0" applyFont="1" applyFill="1" applyAlignment="1">
      <alignment horizontal="center"/>
    </xf>
    <xf numFmtId="0" fontId="14" fillId="12" borderId="0" xfId="0" applyFont="1" applyFill="1" applyAlignment="1">
      <alignment horizontal="left"/>
    </xf>
    <xf numFmtId="0" fontId="0" fillId="11" borderId="0" xfId="0" quotePrefix="1" applyFill="1"/>
    <xf numFmtId="166" fontId="0" fillId="9" borderId="0" xfId="0" applyNumberFormat="1" applyFill="1" applyProtection="1">
      <protection locked="0"/>
    </xf>
    <xf numFmtId="2" fontId="0" fillId="9" borderId="0" xfId="2" applyNumberFormat="1" applyFont="1" applyFill="1" applyProtection="1">
      <protection locked="0"/>
    </xf>
    <xf numFmtId="0" fontId="10" fillId="12" borderId="0" xfId="0" applyFont="1" applyFill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12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167" fontId="0" fillId="0" borderId="0" xfId="0" applyNumberFormat="1"/>
    <xf numFmtId="0" fontId="12" fillId="0" borderId="0" xfId="0" applyFont="1" applyAlignment="1">
      <alignment horizontal="center"/>
    </xf>
    <xf numFmtId="0" fontId="0" fillId="15" borderId="0" xfId="0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</cellXfs>
  <cellStyles count="3">
    <cellStyle name="Currency" xfId="1" builtinId="4"/>
    <cellStyle name="Normal" xfId="0" builtinId="0"/>
    <cellStyle name="Percent" xfId="2" builtinId="5"/>
  </cellStyles>
  <dxfs count="37">
    <dxf>
      <fill>
        <patternFill>
          <bgColor indexed="52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indexed="52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O14" fmlaRange="$A$5:$A$13" val="0"/>
</file>

<file path=xl/ctrlProps/ctrlProp2.xml><?xml version="1.0" encoding="utf-8"?>
<formControlPr xmlns="http://schemas.microsoft.com/office/spreadsheetml/2009/9/main" objectType="Drop" dropStyle="combo" dx="16" fmlaLink="$O$21" fmlaRange="$A$5:$A$13" noThreeD="1" val="0"/>
</file>

<file path=xl/ctrlProps/ctrlProp3.xml><?xml version="1.0" encoding="utf-8"?>
<formControlPr xmlns="http://schemas.microsoft.com/office/spreadsheetml/2009/9/main" objectType="Drop" dropStyle="combo" dx="16" fmlaLink="O3" fmlaRange="$A$5:$A$13" val="0"/>
</file>

<file path=xl/ctrlProps/ctrlProp4.xml><?xml version="1.0" encoding="utf-8"?>
<formControlPr xmlns="http://schemas.microsoft.com/office/spreadsheetml/2009/9/main" objectType="Drop" dropStyle="combo" dx="16" fmlaLink="O12" fmlaRange="$A$5:$A$13" val="0"/>
</file>

<file path=xl/ctrlProps/ctrlProp5.xml><?xml version="1.0" encoding="utf-8"?>
<formControlPr xmlns="http://schemas.microsoft.com/office/spreadsheetml/2009/9/main" objectType="Drop" dropStyle="combo" dx="16" fmlaLink="O10" fmlaRange="$A$5:$A$13" val="0"/>
</file>

<file path=xl/ctrlProps/ctrlProp6.xml><?xml version="1.0" encoding="utf-8"?>
<formControlPr xmlns="http://schemas.microsoft.com/office/spreadsheetml/2009/9/main" objectType="Drop" dropStyle="combo" dx="16" fmlaLink="O23" fmlaRange="$A$5:$A$13" val="0"/>
</file>

<file path=xl/ctrlProps/ctrlProp7.xml><?xml version="1.0" encoding="utf-8"?>
<formControlPr xmlns="http://schemas.microsoft.com/office/spreadsheetml/2009/9/main" objectType="Drop" dropStyle="combo" dx="16" fmlaLink="O17" fmlaRange="$A$5:$A$13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42860</xdr:colOff>
      <xdr:row>6</xdr:row>
      <xdr:rowOff>238125</xdr:rowOff>
    </xdr:from>
    <xdr:to>
      <xdr:col>8</xdr:col>
      <xdr:colOff>668167</xdr:colOff>
      <xdr:row>8</xdr:row>
      <xdr:rowOff>180973</xdr:rowOff>
    </xdr:to>
    <xdr:sp macro="" textlink="">
      <xdr:nvSpPr>
        <xdr:cNvPr id="2" name="1 Flecha doblada hacia arriba"/>
        <xdr:cNvSpPr/>
      </xdr:nvSpPr>
      <xdr:spPr>
        <a:xfrm rot="5400000" flipH="1">
          <a:off x="6322218" y="1969292"/>
          <a:ext cx="457198" cy="842964"/>
        </a:xfrm>
        <a:prstGeom prst="bentUpArrow">
          <a:avLst>
            <a:gd name="adj1" fmla="val 29545"/>
            <a:gd name="adj2" fmla="val 24008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11</xdr:col>
      <xdr:colOff>71438</xdr:colOff>
      <xdr:row>6</xdr:row>
      <xdr:rowOff>266699</xdr:rowOff>
    </xdr:from>
    <xdr:to>
      <xdr:col>12</xdr:col>
      <xdr:colOff>38101</xdr:colOff>
      <xdr:row>9</xdr:row>
      <xdr:rowOff>28572</xdr:rowOff>
    </xdr:to>
    <xdr:sp macro="" textlink="">
      <xdr:nvSpPr>
        <xdr:cNvPr id="3" name="2 Flecha doblada hacia arriba"/>
        <xdr:cNvSpPr/>
      </xdr:nvSpPr>
      <xdr:spPr>
        <a:xfrm rot="16200000">
          <a:off x="9165433" y="1821654"/>
          <a:ext cx="409573" cy="728663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0</xdr:col>
      <xdr:colOff>428624</xdr:colOff>
      <xdr:row>20</xdr:row>
      <xdr:rowOff>180973</xdr:rowOff>
    </xdr:from>
    <xdr:to>
      <xdr:col>0</xdr:col>
      <xdr:colOff>1314447</xdr:colOff>
      <xdr:row>23</xdr:row>
      <xdr:rowOff>85724</xdr:rowOff>
    </xdr:to>
    <xdr:sp macro="" textlink="">
      <xdr:nvSpPr>
        <xdr:cNvPr id="4" name="3 Flecha doblada hacia arriba"/>
        <xdr:cNvSpPr/>
      </xdr:nvSpPr>
      <xdr:spPr>
        <a:xfrm rot="10800000">
          <a:off x="428624" y="4638673"/>
          <a:ext cx="885823" cy="476251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4</xdr:col>
      <xdr:colOff>504824</xdr:colOff>
      <xdr:row>16</xdr:row>
      <xdr:rowOff>47623</xdr:rowOff>
    </xdr:from>
    <xdr:to>
      <xdr:col>5</xdr:col>
      <xdr:colOff>266697</xdr:colOff>
      <xdr:row>18</xdr:row>
      <xdr:rowOff>142874</xdr:rowOff>
    </xdr:to>
    <xdr:sp macro="" textlink="">
      <xdr:nvSpPr>
        <xdr:cNvPr id="5" name="4 Flecha doblada hacia arriba"/>
        <xdr:cNvSpPr/>
      </xdr:nvSpPr>
      <xdr:spPr>
        <a:xfrm rot="10800000">
          <a:off x="4238624" y="3743323"/>
          <a:ext cx="885823" cy="476251"/>
        </a:xfrm>
        <a:prstGeom prst="bentUpArrow">
          <a:avLst>
            <a:gd name="adj1" fmla="val 29545"/>
            <a:gd name="adj2" fmla="val 26136"/>
            <a:gd name="adj3" fmla="val 27273"/>
          </a:avLst>
        </a:prstGeom>
        <a:scene3d>
          <a:camera prst="orthographicFront">
            <a:rot lat="21299999" lon="30000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171450</xdr:rowOff>
        </xdr:from>
        <xdr:to>
          <xdr:col>4</xdr:col>
          <xdr:colOff>1085850</xdr:colOff>
          <xdr:row>13</xdr:row>
          <xdr:rowOff>180975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19</xdr:row>
          <xdr:rowOff>0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1057275</xdr:colOff>
          <xdr:row>1</xdr:row>
          <xdr:rowOff>152400</xdr:rowOff>
        </xdr:from>
        <xdr:to>
          <xdr:col>10</xdr:col>
          <xdr:colOff>733425</xdr:colOff>
          <xdr:row>3</xdr:row>
          <xdr:rowOff>9525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10</xdr:row>
          <xdr:rowOff>95250</xdr:rowOff>
        </xdr:from>
        <xdr:to>
          <xdr:col>7</xdr:col>
          <xdr:colOff>762000</xdr:colOff>
          <xdr:row>11</xdr:row>
          <xdr:rowOff>142875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733425</xdr:colOff>
          <xdr:row>8</xdr:row>
          <xdr:rowOff>171450</xdr:rowOff>
        </xdr:from>
        <xdr:to>
          <xdr:col>11</xdr:col>
          <xdr:colOff>752475</xdr:colOff>
          <xdr:row>10</xdr:row>
          <xdr:rowOff>28575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1438275</xdr:colOff>
          <xdr:row>21</xdr:row>
          <xdr:rowOff>180975</xdr:rowOff>
        </xdr:from>
        <xdr:to>
          <xdr:col>2</xdr:col>
          <xdr:colOff>190500</xdr:colOff>
          <xdr:row>23</xdr:row>
          <xdr:rowOff>38100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104775</xdr:colOff>
          <xdr:row>16</xdr:row>
          <xdr:rowOff>0</xdr:rowOff>
        </xdr:from>
        <xdr:to>
          <xdr:col>8</xdr:col>
          <xdr:colOff>257175</xdr:colOff>
          <xdr:row>17</xdr:row>
          <xdr:rowOff>47625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15</xdr:row>
          <xdr:rowOff>47625</xdr:rowOff>
        </xdr:from>
        <xdr:to>
          <xdr:col>0</xdr:col>
          <xdr:colOff>1390650</xdr:colOff>
          <xdr:row>17</xdr:row>
          <xdr:rowOff>152400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Reset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18</xdr:row>
          <xdr:rowOff>76200</xdr:rowOff>
        </xdr:from>
        <xdr:to>
          <xdr:col>4</xdr:col>
          <xdr:colOff>666750</xdr:colOff>
          <xdr:row>20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14</xdr:row>
          <xdr:rowOff>76200</xdr:rowOff>
        </xdr:from>
        <xdr:to>
          <xdr:col>4</xdr:col>
          <xdr:colOff>666750</xdr:colOff>
          <xdr:row>16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18</xdr:row>
          <xdr:rowOff>76200</xdr:rowOff>
        </xdr:from>
        <xdr:to>
          <xdr:col>4</xdr:col>
          <xdr:colOff>666750</xdr:colOff>
          <xdr:row>20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21</xdr:row>
          <xdr:rowOff>76200</xdr:rowOff>
        </xdr:from>
        <xdr:to>
          <xdr:col>4</xdr:col>
          <xdr:colOff>666750</xdr:colOff>
          <xdr:row>23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17</xdr:row>
          <xdr:rowOff>76200</xdr:rowOff>
        </xdr:from>
        <xdr:to>
          <xdr:col>4</xdr:col>
          <xdr:colOff>666750</xdr:colOff>
          <xdr:row>19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Check your Formula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476250</xdr:colOff>
      <xdr:row>3</xdr:row>
      <xdr:rowOff>95250</xdr:rowOff>
    </xdr:from>
    <xdr:to>
      <xdr:col>10</xdr:col>
      <xdr:colOff>180975</xdr:colOff>
      <xdr:row>9</xdr:row>
      <xdr:rowOff>76199</xdr:rowOff>
    </xdr:to>
    <xdr:sp macro="" textlink="">
      <xdr:nvSpPr>
        <xdr:cNvPr id="2" name="TextBox 1"/>
        <xdr:cNvSpPr txBox="1"/>
      </xdr:nvSpPr>
      <xdr:spPr>
        <a:xfrm>
          <a:off x="7829550" y="1295400"/>
          <a:ext cx="1828800" cy="11239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Use a formula  in G4 that allows for accurate copying into</a:t>
          </a:r>
          <a:r>
            <a:rPr lang="en-GB" sz="1100" baseline="0"/>
            <a:t> cells G5:G8</a:t>
          </a:r>
        </a:p>
        <a:p>
          <a:endParaRPr lang="en-GB" sz="1100" baseline="0"/>
        </a:p>
        <a:p>
          <a:r>
            <a:rPr lang="en-GB" sz="1100" baseline="0"/>
            <a:t>Format Cells F4:G8 for Currency</a:t>
          </a:r>
        </a:p>
      </xdr:txBody>
    </xdr:sp>
    <xdr:clientData/>
  </xdr:twoCellAnchor>
  <xdr:twoCellAnchor>
    <xdr:from>
      <xdr:col>8</xdr:col>
      <xdr:colOff>466725</xdr:colOff>
      <xdr:row>10</xdr:row>
      <xdr:rowOff>85725</xdr:rowOff>
    </xdr:from>
    <xdr:to>
      <xdr:col>10</xdr:col>
      <xdr:colOff>171450</xdr:colOff>
      <xdr:row>16</xdr:row>
      <xdr:rowOff>123824</xdr:rowOff>
    </xdr:to>
    <xdr:sp macro="" textlink="">
      <xdr:nvSpPr>
        <xdr:cNvPr id="4" name="TextBox 3"/>
        <xdr:cNvSpPr txBox="1"/>
      </xdr:nvSpPr>
      <xdr:spPr>
        <a:xfrm>
          <a:off x="7820025" y="3000375"/>
          <a:ext cx="1828800" cy="1181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Use a formula  in G11 that allows for accurate copying into</a:t>
          </a:r>
          <a:r>
            <a:rPr lang="en-GB" sz="1100" baseline="0"/>
            <a:t> cells G12:G16</a:t>
          </a:r>
        </a:p>
        <a:p>
          <a:endParaRPr lang="en-GB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Format Cells G11:G16 for Percentages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P27"/>
  <sheetViews>
    <sheetView workbookViewId="0">
      <pane ySplit="1" topLeftCell="A4" activePane="bottomLeft" state="frozen"/>
      <selection pane="bottomLeft" activeCell="K1" sqref="K1"/>
    </sheetView>
  </sheetViews>
  <sheetFormatPr defaultColWidth="11.42578125" defaultRowHeight="15" x14ac:dyDescent="0.25"/>
  <cols>
    <col min="1" max="1" width="21.7109375" bestFit="1" customWidth="1"/>
    <col min="2" max="3" width="11.42578125" customWidth="1"/>
    <col min="4" max="4" width="11.5703125" customWidth="1"/>
    <col min="5" max="5" width="16.85546875" customWidth="1"/>
    <col min="6" max="6" width="5.140625" customWidth="1"/>
    <col min="7" max="7" width="5.42578125" customWidth="1"/>
    <col min="8" max="8" width="12.140625" customWidth="1"/>
    <col min="9" max="9" width="11.42578125" customWidth="1"/>
    <col min="10" max="10" width="16.5703125" customWidth="1"/>
    <col min="11" max="14" width="11.42578125" customWidth="1"/>
    <col min="15" max="15" width="6.42578125" customWidth="1"/>
    <col min="16" max="16" width="6.28515625" customWidth="1"/>
    <col min="17" max="17" width="5.140625" customWidth="1"/>
  </cols>
  <sheetData>
    <row r="1" spans="1:16" s="10" customFormat="1" ht="60" customHeight="1" x14ac:dyDescent="0.9">
      <c r="A1" s="9" t="s">
        <v>13</v>
      </c>
      <c r="B1" s="9">
        <f>Summary!B1</f>
        <v>0</v>
      </c>
      <c r="C1" s="59" t="s">
        <v>116</v>
      </c>
      <c r="D1" s="60">
        <f>O1</f>
        <v>7</v>
      </c>
      <c r="E1" s="9"/>
      <c r="H1" s="11" t="s">
        <v>20</v>
      </c>
      <c r="N1" s="11">
        <f>SUM(N2:N27)</f>
        <v>0</v>
      </c>
      <c r="O1" s="11">
        <f>SUM(O2:O27)</f>
        <v>7</v>
      </c>
    </row>
    <row r="2" spans="1:16" x14ac:dyDescent="0.25">
      <c r="A2" s="22"/>
      <c r="B2" s="22"/>
      <c r="C2" s="22"/>
      <c r="D2" s="22"/>
      <c r="E2" s="23"/>
      <c r="F2" s="22"/>
      <c r="G2" s="22"/>
      <c r="H2" s="22"/>
      <c r="I2" s="22"/>
      <c r="J2" s="22"/>
      <c r="K2" s="22"/>
      <c r="L2" s="22"/>
      <c r="M2" s="22"/>
    </row>
    <row r="3" spans="1:16" x14ac:dyDescent="0.25">
      <c r="A3" s="22"/>
      <c r="B3" s="22"/>
      <c r="C3" s="22"/>
      <c r="D3" s="22"/>
      <c r="E3" s="23"/>
      <c r="F3" s="22"/>
      <c r="G3" s="22"/>
      <c r="H3" s="22"/>
      <c r="I3" s="22"/>
      <c r="J3" s="22" t="s">
        <v>24</v>
      </c>
      <c r="K3" s="24"/>
      <c r="L3" s="22"/>
      <c r="M3" s="22"/>
      <c r="N3">
        <f>IF(O3=P3,1,0)</f>
        <v>0</v>
      </c>
      <c r="O3">
        <v>1</v>
      </c>
      <c r="P3">
        <v>9</v>
      </c>
    </row>
    <row r="4" spans="1:16" x14ac:dyDescent="0.25">
      <c r="A4" s="22" t="s">
        <v>31</v>
      </c>
      <c r="B4" s="22"/>
      <c r="C4" s="22"/>
      <c r="D4" s="22"/>
      <c r="E4" s="23"/>
      <c r="F4" s="22"/>
      <c r="G4" s="22"/>
      <c r="H4" s="22"/>
      <c r="I4" s="22"/>
      <c r="J4" s="22"/>
      <c r="K4" s="22"/>
      <c r="L4" s="22"/>
      <c r="M4" s="22"/>
    </row>
    <row r="5" spans="1:16" x14ac:dyDescent="0.25">
      <c r="A5" s="25" t="s">
        <v>30</v>
      </c>
      <c r="B5" s="22"/>
      <c r="C5" s="22"/>
      <c r="D5" s="22"/>
      <c r="E5" s="23"/>
      <c r="F5" s="22"/>
      <c r="G5" s="22"/>
      <c r="H5" s="22"/>
      <c r="I5" s="22"/>
      <c r="J5" s="22"/>
      <c r="K5" s="22"/>
      <c r="L5" s="22"/>
      <c r="M5" s="22"/>
    </row>
    <row r="6" spans="1:16" x14ac:dyDescent="0.25">
      <c r="A6" s="22" t="s">
        <v>14</v>
      </c>
      <c r="B6" s="22"/>
      <c r="C6" s="22"/>
      <c r="D6" s="22"/>
      <c r="E6" s="23"/>
      <c r="F6" s="22"/>
      <c r="G6" s="22"/>
      <c r="H6" s="22"/>
      <c r="I6" s="22"/>
      <c r="J6" s="22"/>
      <c r="K6" s="22"/>
      <c r="L6" s="22"/>
      <c r="M6" s="22"/>
    </row>
    <row r="7" spans="1:16" ht="21" x14ac:dyDescent="0.35">
      <c r="A7" s="22" t="s">
        <v>15</v>
      </c>
      <c r="B7" s="22"/>
      <c r="C7" s="22"/>
      <c r="D7" s="22"/>
      <c r="E7" s="23"/>
      <c r="F7" s="22"/>
      <c r="G7" s="22"/>
      <c r="H7" s="22"/>
      <c r="I7" s="22"/>
      <c r="J7" s="36" t="s">
        <v>26</v>
      </c>
      <c r="K7" s="36" t="s">
        <v>25</v>
      </c>
      <c r="L7" s="22"/>
      <c r="M7" s="22"/>
    </row>
    <row r="8" spans="1:16" x14ac:dyDescent="0.25">
      <c r="A8" s="22" t="s">
        <v>16</v>
      </c>
      <c r="B8" s="22"/>
      <c r="C8" s="22"/>
      <c r="D8" s="22"/>
      <c r="E8" s="23"/>
      <c r="F8" s="22"/>
      <c r="G8" s="22"/>
      <c r="H8" s="22"/>
      <c r="I8" s="22"/>
      <c r="J8" s="37" t="s">
        <v>29</v>
      </c>
      <c r="K8" s="37">
        <v>2</v>
      </c>
      <c r="L8" s="22"/>
      <c r="M8" s="22"/>
    </row>
    <row r="9" spans="1:16" x14ac:dyDescent="0.25">
      <c r="A9" s="22" t="s">
        <v>17</v>
      </c>
      <c r="B9" s="22"/>
      <c r="C9" s="22"/>
      <c r="D9" s="22"/>
      <c r="E9" s="23"/>
      <c r="F9" s="22"/>
      <c r="G9" s="22"/>
      <c r="H9" s="22"/>
      <c r="I9" s="22"/>
      <c r="J9" s="37" t="s">
        <v>27</v>
      </c>
      <c r="K9" s="37">
        <v>3</v>
      </c>
      <c r="L9" s="22"/>
      <c r="M9" s="22"/>
    </row>
    <row r="10" spans="1:16" x14ac:dyDescent="0.25">
      <c r="A10" s="22" t="s">
        <v>18</v>
      </c>
      <c r="B10" s="22"/>
      <c r="C10" s="22"/>
      <c r="D10" s="22"/>
      <c r="E10" s="23"/>
      <c r="F10" s="22"/>
      <c r="G10" s="22"/>
      <c r="H10" s="22" t="s">
        <v>39</v>
      </c>
      <c r="I10" s="22"/>
      <c r="J10" s="37" t="s">
        <v>28</v>
      </c>
      <c r="K10" s="37"/>
      <c r="L10" s="22"/>
      <c r="M10" s="22"/>
      <c r="N10">
        <f>IF(O10=P10,1,0)</f>
        <v>0</v>
      </c>
      <c r="O10">
        <v>1</v>
      </c>
      <c r="P10">
        <v>6</v>
      </c>
    </row>
    <row r="11" spans="1:16" x14ac:dyDescent="0.25">
      <c r="A11" s="22" t="s">
        <v>19</v>
      </c>
      <c r="B11" s="22"/>
      <c r="C11" s="22"/>
      <c r="D11" s="22"/>
      <c r="E11" s="23"/>
      <c r="F11" s="22"/>
      <c r="G11" s="22"/>
      <c r="H11" s="22"/>
      <c r="I11" s="22"/>
      <c r="J11" s="37"/>
      <c r="K11" s="37"/>
      <c r="L11" s="22" t="s">
        <v>38</v>
      </c>
      <c r="M11" s="22"/>
    </row>
    <row r="12" spans="1:16" x14ac:dyDescent="0.25">
      <c r="A12" s="22" t="s">
        <v>36</v>
      </c>
      <c r="B12" s="22"/>
      <c r="C12" s="22"/>
      <c r="D12" s="22"/>
      <c r="E12" s="23"/>
      <c r="F12" s="22"/>
      <c r="G12" s="22"/>
      <c r="H12" s="22"/>
      <c r="I12" s="22"/>
      <c r="J12" s="22"/>
      <c r="K12" s="22"/>
      <c r="L12" s="22"/>
      <c r="M12" s="22"/>
      <c r="N12">
        <f>IF(O12=P12,1,0)</f>
        <v>0</v>
      </c>
      <c r="O12">
        <v>1</v>
      </c>
      <c r="P12">
        <v>5</v>
      </c>
    </row>
    <row r="13" spans="1:16" x14ac:dyDescent="0.25">
      <c r="A13" s="22" t="s">
        <v>37</v>
      </c>
      <c r="B13" s="22"/>
      <c r="C13" s="22"/>
      <c r="D13" s="22"/>
      <c r="E13" s="23" t="s">
        <v>22</v>
      </c>
      <c r="F13" s="22"/>
      <c r="G13" s="22"/>
      <c r="H13" s="22"/>
      <c r="I13" s="22"/>
      <c r="J13" s="22"/>
      <c r="K13" s="22"/>
      <c r="L13" s="22"/>
      <c r="M13" s="22"/>
    </row>
    <row r="14" spans="1:16" x14ac:dyDescent="0.25">
      <c r="A14" s="22" t="s">
        <v>33</v>
      </c>
      <c r="B14" s="35"/>
      <c r="C14" s="22"/>
      <c r="D14" s="22"/>
      <c r="E14" s="23"/>
      <c r="F14" s="22"/>
      <c r="G14" s="22"/>
      <c r="H14" s="22"/>
      <c r="I14" s="22"/>
      <c r="J14" s="22"/>
      <c r="K14" s="22"/>
      <c r="L14" s="22"/>
      <c r="M14" s="22"/>
      <c r="N14">
        <f>IF(O14=P14,1,0)</f>
        <v>0</v>
      </c>
      <c r="O14">
        <v>1</v>
      </c>
      <c r="P14">
        <v>3</v>
      </c>
    </row>
    <row r="15" spans="1:16" x14ac:dyDescent="0.25">
      <c r="A15" s="35"/>
      <c r="B15" s="35"/>
      <c r="C15" s="22"/>
      <c r="D15" s="22"/>
      <c r="E15" s="23"/>
      <c r="F15" s="22"/>
      <c r="G15" s="22"/>
      <c r="H15" s="22"/>
      <c r="I15" s="22"/>
      <c r="J15" s="22"/>
      <c r="K15" s="22"/>
      <c r="L15" s="22"/>
      <c r="M15" s="22"/>
    </row>
    <row r="16" spans="1:16" x14ac:dyDescent="0.25">
      <c r="A16" s="22"/>
      <c r="B16" s="22"/>
      <c r="C16" s="22"/>
      <c r="D16" s="22"/>
      <c r="E16" s="23"/>
      <c r="F16" s="22"/>
      <c r="G16" s="22"/>
      <c r="H16" s="22"/>
      <c r="I16" s="22"/>
      <c r="J16" s="22"/>
      <c r="K16" s="22"/>
      <c r="L16" s="22"/>
      <c r="M16" s="22"/>
    </row>
    <row r="17" spans="1:16" x14ac:dyDescent="0.25">
      <c r="A17" s="22"/>
      <c r="B17" s="22"/>
      <c r="C17" s="22"/>
      <c r="D17" s="22"/>
      <c r="E17" s="23"/>
      <c r="F17" s="22"/>
      <c r="G17" s="22" t="s">
        <v>35</v>
      </c>
      <c r="H17" s="22"/>
      <c r="I17" s="22"/>
      <c r="J17" s="22"/>
      <c r="K17" s="22"/>
      <c r="L17" s="22"/>
      <c r="M17" s="22"/>
      <c r="N17">
        <f>IF(O17=P17,1,0)</f>
        <v>0</v>
      </c>
      <c r="O17">
        <v>1</v>
      </c>
      <c r="P17">
        <v>7</v>
      </c>
    </row>
    <row r="18" spans="1:16" x14ac:dyDescent="0.25">
      <c r="A18" s="22"/>
      <c r="B18" s="22"/>
      <c r="C18" s="22"/>
      <c r="D18" s="22"/>
      <c r="E18" s="23"/>
      <c r="F18" s="22"/>
      <c r="G18" s="22"/>
      <c r="H18" s="22"/>
      <c r="I18" s="22"/>
      <c r="J18" s="22"/>
      <c r="K18" s="22"/>
      <c r="L18" s="22"/>
      <c r="M18" s="22"/>
    </row>
    <row r="19" spans="1:16" x14ac:dyDescent="0.25">
      <c r="A19" s="22"/>
      <c r="B19" s="22"/>
      <c r="C19" s="22"/>
      <c r="D19" s="22"/>
      <c r="E19" s="23"/>
      <c r="F19" s="22"/>
      <c r="G19" s="22"/>
      <c r="H19" s="22"/>
      <c r="I19" s="22"/>
      <c r="J19" s="22"/>
      <c r="K19" s="22"/>
      <c r="L19" s="22"/>
      <c r="M19" s="22"/>
    </row>
    <row r="20" spans="1:16" x14ac:dyDescent="0.25">
      <c r="A20" s="26"/>
      <c r="B20" s="26"/>
      <c r="C20" s="26"/>
      <c r="D20" s="26"/>
      <c r="E20" s="27" t="s">
        <v>34</v>
      </c>
      <c r="F20" s="26"/>
      <c r="G20" s="26"/>
      <c r="H20" s="26"/>
      <c r="I20" s="26"/>
      <c r="J20" s="38" t="s">
        <v>23</v>
      </c>
      <c r="K20" s="26"/>
      <c r="L20" s="26"/>
      <c r="M20" s="26"/>
      <c r="N20" s="6"/>
      <c r="O20" s="6"/>
    </row>
    <row r="21" spans="1:16" x14ac:dyDescent="0.25">
      <c r="A21" s="22"/>
      <c r="B21" s="22"/>
      <c r="C21" s="22"/>
      <c r="D21" s="22"/>
      <c r="E21" s="23"/>
      <c r="F21" s="22"/>
      <c r="G21" s="22"/>
      <c r="H21" s="22"/>
      <c r="I21" s="22"/>
      <c r="J21" s="22"/>
      <c r="K21" s="22"/>
      <c r="L21" s="22"/>
      <c r="M21" s="22"/>
      <c r="N21" s="7">
        <f>IF(O21=P21,1,0)</f>
        <v>0</v>
      </c>
      <c r="O21" s="7">
        <v>1</v>
      </c>
      <c r="P21">
        <v>2</v>
      </c>
    </row>
    <row r="22" spans="1:16" x14ac:dyDescent="0.25">
      <c r="A22" s="22"/>
      <c r="B22" s="22" t="s">
        <v>32</v>
      </c>
      <c r="C22" s="22"/>
      <c r="D22" s="22"/>
      <c r="E22" s="23"/>
      <c r="F22" s="22"/>
      <c r="G22" s="22"/>
      <c r="H22" s="22"/>
      <c r="I22" s="22"/>
      <c r="J22" s="22"/>
      <c r="K22" s="22"/>
      <c r="L22" s="22"/>
      <c r="M22" s="22"/>
    </row>
    <row r="23" spans="1:16" x14ac:dyDescent="0.25">
      <c r="A23" s="22"/>
      <c r="B23" s="22"/>
      <c r="C23" s="22"/>
      <c r="D23" s="22"/>
      <c r="E23" s="23"/>
      <c r="F23" s="22"/>
      <c r="G23" s="22"/>
      <c r="H23" s="22"/>
      <c r="I23" s="22"/>
      <c r="J23" s="22"/>
      <c r="K23" s="22"/>
      <c r="L23" s="22"/>
      <c r="M23" s="22"/>
      <c r="N23">
        <f>IF(O23=P23,1,0)</f>
        <v>0</v>
      </c>
      <c r="O23">
        <v>1</v>
      </c>
      <c r="P23">
        <v>4</v>
      </c>
    </row>
    <row r="24" spans="1:16" x14ac:dyDescent="0.25">
      <c r="A24" s="22"/>
      <c r="B24" s="22"/>
      <c r="C24" s="22"/>
      <c r="D24" s="22"/>
      <c r="E24" s="23"/>
      <c r="F24" s="22"/>
      <c r="G24" s="22"/>
      <c r="H24" s="22"/>
      <c r="I24" s="22"/>
      <c r="J24" s="22"/>
      <c r="K24" s="22"/>
      <c r="L24" s="22"/>
      <c r="M24" s="22"/>
    </row>
    <row r="25" spans="1:16" x14ac:dyDescent="0.25">
      <c r="E25" s="5"/>
    </row>
    <row r="26" spans="1:16" x14ac:dyDescent="0.25">
      <c r="E26" s="5"/>
    </row>
    <row r="27" spans="1:16" x14ac:dyDescent="0.25">
      <c r="E27" s="5"/>
    </row>
  </sheetData>
  <sheetProtection selectLockedCells="1"/>
  <phoneticPr fontId="8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>
                  <from>
                    <xdr:col>4</xdr:col>
                    <xdr:colOff>0</xdr:colOff>
                    <xdr:row>12</xdr:row>
                    <xdr:rowOff>171450</xdr:rowOff>
                  </from>
                  <to>
                    <xdr:col>4</xdr:col>
                    <xdr:colOff>1085850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10</xdr:col>
                    <xdr:colOff>752475</xdr:colOff>
                    <xdr:row>19</xdr:row>
                    <xdr:rowOff>0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>
                  <from>
                    <xdr:col>9</xdr:col>
                    <xdr:colOff>1057275</xdr:colOff>
                    <xdr:row>1</xdr:row>
                    <xdr:rowOff>152400</xdr:rowOff>
                  </from>
                  <to>
                    <xdr:col>10</xdr:col>
                    <xdr:colOff>733425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>
                <anchor>
                  <from>
                    <xdr:col>6</xdr:col>
                    <xdr:colOff>342900</xdr:colOff>
                    <xdr:row>10</xdr:row>
                    <xdr:rowOff>95250</xdr:rowOff>
                  </from>
                  <to>
                    <xdr:col>7</xdr:col>
                    <xdr:colOff>762000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Drop Down 7">
              <controlPr defaultSize="0" autoLine="0" autoPict="0">
                <anchor>
                  <from>
                    <xdr:col>10</xdr:col>
                    <xdr:colOff>733425</xdr:colOff>
                    <xdr:row>8</xdr:row>
                    <xdr:rowOff>171450</xdr:rowOff>
                  </from>
                  <to>
                    <xdr:col>11</xdr:col>
                    <xdr:colOff>752475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>
                <anchor>
                  <from>
                    <xdr:col>0</xdr:col>
                    <xdr:colOff>1438275</xdr:colOff>
                    <xdr:row>21</xdr:row>
                    <xdr:rowOff>180975</xdr:rowOff>
                  </from>
                  <to>
                    <xdr:col>2</xdr:col>
                    <xdr:colOff>190500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0" name="Drop Down 15">
              <controlPr defaultSize="0" autoLine="0" autoPict="0">
                <anchor>
                  <from>
                    <xdr:col>7</xdr:col>
                    <xdr:colOff>104775</xdr:colOff>
                    <xdr:row>16</xdr:row>
                    <xdr:rowOff>0</xdr:rowOff>
                  </from>
                  <to>
                    <xdr:col>8</xdr:col>
                    <xdr:colOff>257175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1" name="Button 20">
              <controlPr defaultSize="0" print="0" autoFill="0" autoPict="0" macro="[0]!BtnResetVocab">
                <anchor moveWithCells="1" sizeWithCells="1">
                  <from>
                    <xdr:col>0</xdr:col>
                    <xdr:colOff>200025</xdr:colOff>
                    <xdr:row>15</xdr:row>
                    <xdr:rowOff>47625</xdr:rowOff>
                  </from>
                  <to>
                    <xdr:col>0</xdr:col>
                    <xdr:colOff>1390650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7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21.7109375" bestFit="1" customWidth="1"/>
    <col min="2" max="2" width="11.7109375" customWidth="1"/>
    <col min="3" max="3" width="11.42578125" customWidth="1"/>
    <col min="4" max="4" width="11.42578125" style="2" customWidth="1"/>
    <col min="5" max="5" width="11.42578125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4" s="13" customFormat="1" ht="60" customHeight="1" x14ac:dyDescent="0.9">
      <c r="A1" s="12" t="s">
        <v>13</v>
      </c>
      <c r="B1" s="12">
        <f>Summary!B1</f>
        <v>0</v>
      </c>
      <c r="C1" s="15" t="s">
        <v>116</v>
      </c>
      <c r="D1" s="41">
        <f>N1</f>
        <v>9</v>
      </c>
      <c r="F1" s="14"/>
      <c r="H1" s="15"/>
      <c r="I1" s="15"/>
      <c r="K1" s="13">
        <f>SUM(K3:K19)</f>
        <v>0</v>
      </c>
      <c r="L1" s="16"/>
      <c r="N1" s="13">
        <f>SUM(N3:N19)</f>
        <v>9</v>
      </c>
    </row>
    <row r="2" spans="1:14" x14ac:dyDescent="0.25">
      <c r="B2" t="s">
        <v>138</v>
      </c>
    </row>
    <row r="3" spans="1:14" x14ac:dyDescent="0.25">
      <c r="B3" t="s">
        <v>6</v>
      </c>
      <c r="C3" s="8">
        <v>72</v>
      </c>
      <c r="D3" s="2" t="s">
        <v>1</v>
      </c>
      <c r="E3" s="8">
        <v>32</v>
      </c>
      <c r="F3" s="1" t="s">
        <v>0</v>
      </c>
      <c r="G3" s="29"/>
      <c r="H3" s="3" t="str">
        <f>IF(LEFT(FormulaText(G3),1)="=","You used Formula","Write a Formula !")</f>
        <v>Write a Formula !</v>
      </c>
      <c r="I3" s="3" t="str">
        <f>IF(G3=(C3*E3),"Correct Value","")</f>
        <v/>
      </c>
      <c r="K3">
        <f>IF(AND(H3="You used Formula",I3="Correct Value"),1,0)</f>
        <v>0</v>
      </c>
      <c r="L3" s="34" t="str">
        <f>FormulaText(G3)</f>
        <v/>
      </c>
      <c r="N3">
        <v>1</v>
      </c>
    </row>
    <row r="4" spans="1:14" x14ac:dyDescent="0.25">
      <c r="C4" s="4"/>
    </row>
    <row r="5" spans="1:14" x14ac:dyDescent="0.25">
      <c r="B5" t="s">
        <v>7</v>
      </c>
      <c r="C5" s="8">
        <f>C3</f>
        <v>72</v>
      </c>
      <c r="D5" s="2" t="s">
        <v>2</v>
      </c>
      <c r="E5" s="8">
        <v>32</v>
      </c>
      <c r="F5" s="1" t="s">
        <v>0</v>
      </c>
      <c r="G5" s="29"/>
      <c r="H5" s="3" t="str">
        <f>IF(LEFT(FormulaText(G5),1)="=","You used Formula","Write a Formula !")</f>
        <v>Write a Formula !</v>
      </c>
      <c r="I5" s="3" t="str">
        <f>IF(G5=(C5-E5),"Correct Value","")</f>
        <v/>
      </c>
      <c r="K5">
        <f>IF(AND(H5="You used Formula",I5="Correct Value"),1,0)</f>
        <v>0</v>
      </c>
      <c r="L5" s="4" t="str">
        <f>FormulaText(G5)</f>
        <v/>
      </c>
      <c r="N5">
        <v>1</v>
      </c>
    </row>
    <row r="7" spans="1:14" x14ac:dyDescent="0.25">
      <c r="B7" t="s">
        <v>8</v>
      </c>
      <c r="C7" s="8">
        <f>C3</f>
        <v>72</v>
      </c>
      <c r="D7" s="2" t="s">
        <v>3</v>
      </c>
      <c r="E7" s="8">
        <v>9</v>
      </c>
      <c r="F7" s="1" t="s">
        <v>0</v>
      </c>
      <c r="G7" s="29"/>
      <c r="H7" s="3" t="str">
        <f>IF(LEFT(FormulaText(G7),1)="=","You used Formula","Write a Formula !")</f>
        <v>Write a Formula !</v>
      </c>
      <c r="I7" s="3" t="str">
        <f>IF(G7=(C7/E7),"Correct Value","")</f>
        <v/>
      </c>
      <c r="K7">
        <f>IF(AND(H7="You used Formula",I7="Correct Value"),1,0)</f>
        <v>0</v>
      </c>
      <c r="L7" s="4" t="str">
        <f>FormulaText(G7)</f>
        <v/>
      </c>
      <c r="N7">
        <v>1</v>
      </c>
    </row>
    <row r="9" spans="1:14" x14ac:dyDescent="0.25">
      <c r="B9" t="s">
        <v>9</v>
      </c>
      <c r="C9" s="8">
        <f>C3</f>
        <v>72</v>
      </c>
      <c r="D9" s="2" t="s">
        <v>4</v>
      </c>
      <c r="E9" s="8">
        <v>9</v>
      </c>
      <c r="F9" s="1" t="s">
        <v>0</v>
      </c>
      <c r="G9" s="29"/>
      <c r="H9" s="3" t="str">
        <f>IF(LEFT(FormulaText(G9),1)="=","You used Formula","Write a Formula !")</f>
        <v>Write a Formula !</v>
      </c>
      <c r="I9" s="3" t="str">
        <f>IF(G9=(C9+E9),"Correct Value","")</f>
        <v/>
      </c>
      <c r="K9">
        <f>IF(AND(H9="You used Formula",I9="Correct Value"),1,0)</f>
        <v>0</v>
      </c>
      <c r="L9" s="4" t="str">
        <f>FormulaText(G9)</f>
        <v/>
      </c>
      <c r="N9">
        <v>1</v>
      </c>
    </row>
    <row r="11" spans="1:14" x14ac:dyDescent="0.25">
      <c r="B11" t="s">
        <v>10</v>
      </c>
      <c r="C11" s="8">
        <f>C9</f>
        <v>72</v>
      </c>
      <c r="D11" s="2" t="s">
        <v>3</v>
      </c>
      <c r="E11" s="8">
        <v>3</v>
      </c>
      <c r="F11" s="1" t="s">
        <v>0</v>
      </c>
      <c r="G11" s="29"/>
      <c r="H11" s="3" t="str">
        <f>IF(LEFT(FormulaText(G11),1)="=","You used Formula","Write a Formula !")</f>
        <v>Write a Formula !</v>
      </c>
      <c r="I11" s="3" t="str">
        <f>IF(G11=(C11/E11),"Correct Value","")</f>
        <v/>
      </c>
      <c r="K11">
        <f>IF(AND(H11="You used Formula",I11="Correct Value"),1,0)</f>
        <v>0</v>
      </c>
      <c r="L11" s="4" t="str">
        <f>FormulaText(G11)</f>
        <v/>
      </c>
      <c r="N11">
        <v>1</v>
      </c>
    </row>
    <row r="13" spans="1:14" x14ac:dyDescent="0.25">
      <c r="B13" t="s">
        <v>11</v>
      </c>
      <c r="C13" s="8">
        <f>C9</f>
        <v>72</v>
      </c>
      <c r="D13" s="2" t="s">
        <v>4</v>
      </c>
      <c r="E13" s="8">
        <v>9</v>
      </c>
      <c r="F13" s="1" t="s">
        <v>0</v>
      </c>
      <c r="G13" s="29"/>
      <c r="H13" s="3" t="str">
        <f>IF(LEFT(FormulaText(G13),1)="=","You used Formula","Write a Formula !")</f>
        <v>Write a Formula !</v>
      </c>
      <c r="I13" s="3" t="str">
        <f>IF(G13=(C13+E13),"Correct Value","")</f>
        <v/>
      </c>
      <c r="K13">
        <f>IF(AND(H13="You used Formula",I13="Correct Value"),1,0)</f>
        <v>0</v>
      </c>
      <c r="L13" s="4" t="str">
        <f>FormulaText(G13)</f>
        <v/>
      </c>
      <c r="N13">
        <v>1</v>
      </c>
    </row>
    <row r="15" spans="1:14" x14ac:dyDescent="0.25">
      <c r="B15" t="s">
        <v>12</v>
      </c>
      <c r="C15" s="8">
        <v>27</v>
      </c>
      <c r="D15" s="2" t="s">
        <v>1</v>
      </c>
      <c r="E15" s="8">
        <f>C13</f>
        <v>72</v>
      </c>
      <c r="F15" s="1" t="s">
        <v>0</v>
      </c>
      <c r="G15" s="29"/>
      <c r="H15" s="3" t="str">
        <f>IF(LEFT(FormulaText(G15),1)="=","You used Formula","Write a Formula !")</f>
        <v>Write a Formula !</v>
      </c>
      <c r="I15" s="3" t="str">
        <f>IF(G15=(C15*E15),"Correct Value","")</f>
        <v/>
      </c>
      <c r="K15">
        <f>IF(AND(H15="You used Formula",I15="Correct Value"),1,0)</f>
        <v>0</v>
      </c>
      <c r="L15" s="4" t="str">
        <f>FormulaText(G15)</f>
        <v/>
      </c>
      <c r="N15">
        <v>1</v>
      </c>
    </row>
    <row r="16" spans="1:14" x14ac:dyDescent="0.25">
      <c r="F16" s="1"/>
      <c r="G16" s="3"/>
    </row>
    <row r="17" spans="2:14" x14ac:dyDescent="0.25">
      <c r="B17" t="s">
        <v>117</v>
      </c>
      <c r="C17" s="8">
        <f>C3</f>
        <v>72</v>
      </c>
      <c r="D17" s="2" t="s">
        <v>5</v>
      </c>
      <c r="F17" s="1" t="s">
        <v>0</v>
      </c>
      <c r="G17" s="29"/>
      <c r="H17" s="3" t="str">
        <f>IF(LEFT(FormulaText(G17),1)="=","You used Formula","Write a Formula !")</f>
        <v>Write a Formula !</v>
      </c>
      <c r="I17" s="3" t="str">
        <f>IF(G17=(C17*C17),"Correct Value","")</f>
        <v/>
      </c>
      <c r="K17">
        <f>IF(AND(H17="You used Formula",I17="Correct Value"),1,0)</f>
        <v>0</v>
      </c>
      <c r="L17" s="4" t="str">
        <f>FormulaText(G17)</f>
        <v/>
      </c>
      <c r="N17">
        <v>2</v>
      </c>
    </row>
  </sheetData>
  <phoneticPr fontId="8" type="noConversion"/>
  <conditionalFormatting sqref="H1:H1048576">
    <cfRule type="cellIs" dxfId="36" priority="9" stopIfTrue="1" operator="equal">
      <formula>"Write a Formula !"</formula>
    </cfRule>
  </conditionalFormatting>
  <conditionalFormatting sqref="I3">
    <cfRule type="cellIs" dxfId="35" priority="8" operator="equal">
      <formula>"Correct Value"</formula>
    </cfRule>
  </conditionalFormatting>
  <conditionalFormatting sqref="I5">
    <cfRule type="cellIs" dxfId="34" priority="7" operator="equal">
      <formula>"Correct Value"</formula>
    </cfRule>
  </conditionalFormatting>
  <conditionalFormatting sqref="I7">
    <cfRule type="cellIs" dxfId="33" priority="6" operator="equal">
      <formula>"Correct Value"</formula>
    </cfRule>
  </conditionalFormatting>
  <conditionalFormatting sqref="I9">
    <cfRule type="cellIs" dxfId="32" priority="5" operator="equal">
      <formula>"Correct Value"</formula>
    </cfRule>
  </conditionalFormatting>
  <conditionalFormatting sqref="I11">
    <cfRule type="cellIs" dxfId="31" priority="4" operator="equal">
      <formula>"Correct Value"</formula>
    </cfRule>
  </conditionalFormatting>
  <conditionalFormatting sqref="I13">
    <cfRule type="cellIs" dxfId="30" priority="3" operator="equal">
      <formula>"Correct Value"</formula>
    </cfRule>
  </conditionalFormatting>
  <conditionalFormatting sqref="I15">
    <cfRule type="cellIs" dxfId="29" priority="2" operator="equal">
      <formula>"Correct Value"</formula>
    </cfRule>
  </conditionalFormatting>
  <conditionalFormatting sqref="I17">
    <cfRule type="cellIs" dxfId="28" priority="1" operator="equal">
      <formula>"Correct Value"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18</xdr:row>
                    <xdr:rowOff>76200</xdr:rowOff>
                  </from>
                  <to>
                    <xdr:col>4</xdr:col>
                    <xdr:colOff>666750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N12"/>
  <sheetViews>
    <sheetView workbookViewId="0">
      <selection activeCell="I13" sqref="I13"/>
    </sheetView>
  </sheetViews>
  <sheetFormatPr defaultColWidth="11.42578125" defaultRowHeight="15" x14ac:dyDescent="0.25"/>
  <cols>
    <col min="1" max="1" width="21.7109375" bestFit="1" customWidth="1"/>
    <col min="2" max="2" width="20.7109375" customWidth="1"/>
    <col min="3" max="3" width="15.7109375" customWidth="1"/>
    <col min="4" max="4" width="9.7109375" style="2" customWidth="1"/>
    <col min="5" max="5" width="11.42578125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4" s="18" customFormat="1" ht="60" customHeight="1" x14ac:dyDescent="0.9">
      <c r="A1" s="17" t="s">
        <v>13</v>
      </c>
      <c r="B1" s="17">
        <f>Summary!B1</f>
        <v>0</v>
      </c>
      <c r="C1" s="20" t="s">
        <v>116</v>
      </c>
      <c r="D1" s="58">
        <f>N1</f>
        <v>10</v>
      </c>
      <c r="F1" s="19"/>
      <c r="H1" s="20"/>
      <c r="I1" s="20"/>
      <c r="K1" s="18">
        <f>SUM(K5:K15)</f>
        <v>0</v>
      </c>
      <c r="L1" s="21"/>
      <c r="N1" s="18">
        <f>SUM(N5:N15)</f>
        <v>10</v>
      </c>
    </row>
    <row r="2" spans="1:14" x14ac:dyDescent="0.25">
      <c r="A2" t="s">
        <v>139</v>
      </c>
      <c r="B2" s="30"/>
      <c r="C2" s="30"/>
      <c r="D2" s="30"/>
      <c r="E2" s="30"/>
    </row>
    <row r="3" spans="1:14" x14ac:dyDescent="0.25">
      <c r="B3" s="30"/>
      <c r="C3" s="30"/>
      <c r="D3" s="30"/>
      <c r="E3" s="30"/>
    </row>
    <row r="4" spans="1:14" x14ac:dyDescent="0.25">
      <c r="B4" s="30" t="s">
        <v>41</v>
      </c>
      <c r="C4" s="30" t="s">
        <v>44</v>
      </c>
      <c r="D4" s="30"/>
      <c r="E4" s="30" t="s">
        <v>40</v>
      </c>
    </row>
    <row r="5" spans="1:14" x14ac:dyDescent="0.25">
      <c r="B5" t="s">
        <v>46</v>
      </c>
      <c r="C5" s="31">
        <v>81</v>
      </c>
      <c r="E5" s="28">
        <v>0.03</v>
      </c>
      <c r="F5" s="1"/>
      <c r="G5" s="33"/>
      <c r="H5" s="3" t="str">
        <f>IF(LEFT(FormulaText(G5),1)="=","You used Formula","Write a Formula !")</f>
        <v>Write a Formula !</v>
      </c>
      <c r="I5" s="3" t="str">
        <f t="shared" ref="I5:I10" si="0">IF(G5=(C5*E5),"Correct Value","")</f>
        <v/>
      </c>
      <c r="K5">
        <f>IF(AND(H5="You used Formula",I5="Correct Value"),N5,0)</f>
        <v>0</v>
      </c>
      <c r="L5" s="4" t="str">
        <f>FormulaText(G5)</f>
        <v/>
      </c>
      <c r="N5">
        <v>2</v>
      </c>
    </row>
    <row r="6" spans="1:14" x14ac:dyDescent="0.25">
      <c r="B6" t="s">
        <v>42</v>
      </c>
      <c r="C6" s="31">
        <f>C5*3.5</f>
        <v>283.5</v>
      </c>
      <c r="E6" s="28">
        <v>0.02</v>
      </c>
      <c r="F6" s="1"/>
      <c r="G6" s="33"/>
      <c r="H6" s="3" t="str">
        <f t="shared" ref="H6:H12" si="1">IF(LEFT(FormulaText(G6),1)="=","You used Formula","Write a Formula !")</f>
        <v>Write a Formula !</v>
      </c>
      <c r="I6" s="3" t="str">
        <f t="shared" si="0"/>
        <v/>
      </c>
      <c r="K6">
        <f t="shared" ref="K6:K12" si="2">IF(AND(H6="You used Formula",I6="Correct Value"),N6,0)</f>
        <v>0</v>
      </c>
      <c r="L6" s="4" t="str">
        <f>FormulaText(G6)</f>
        <v/>
      </c>
      <c r="N6">
        <v>1</v>
      </c>
    </row>
    <row r="7" spans="1:14" x14ac:dyDescent="0.25">
      <c r="B7" t="s">
        <v>45</v>
      </c>
      <c r="C7" s="31">
        <f>C5*1.4</f>
        <v>113.39999999999999</v>
      </c>
      <c r="E7" s="28">
        <v>0.04</v>
      </c>
      <c r="F7" s="1"/>
      <c r="G7" s="33"/>
      <c r="H7" s="3" t="str">
        <f t="shared" si="1"/>
        <v>Write a Formula !</v>
      </c>
      <c r="I7" s="3" t="str">
        <f t="shared" si="0"/>
        <v/>
      </c>
      <c r="K7">
        <f t="shared" si="2"/>
        <v>0</v>
      </c>
      <c r="L7" s="4" t="str">
        <f>FormulaText(G7)</f>
        <v/>
      </c>
      <c r="N7">
        <v>1</v>
      </c>
    </row>
    <row r="8" spans="1:14" x14ac:dyDescent="0.25">
      <c r="B8" t="s">
        <v>43</v>
      </c>
      <c r="C8" s="31">
        <f>C5*1.2</f>
        <v>97.2</v>
      </c>
      <c r="E8" s="28">
        <v>0.04</v>
      </c>
      <c r="F8" s="1"/>
      <c r="G8" s="33"/>
      <c r="H8" s="3" t="str">
        <f t="shared" si="1"/>
        <v>Write a Formula !</v>
      </c>
      <c r="I8" s="3" t="str">
        <f t="shared" si="0"/>
        <v/>
      </c>
      <c r="K8">
        <f t="shared" si="2"/>
        <v>0</v>
      </c>
      <c r="L8" s="4" t="str">
        <f>FormulaText(G8)</f>
        <v/>
      </c>
      <c r="N8">
        <v>1</v>
      </c>
    </row>
    <row r="9" spans="1:14" x14ac:dyDescent="0.25">
      <c r="B9" t="s">
        <v>47</v>
      </c>
      <c r="C9" s="31">
        <f>C6*1.2</f>
        <v>340.2</v>
      </c>
      <c r="E9" s="28">
        <v>0.05</v>
      </c>
      <c r="F9" s="1"/>
      <c r="G9" s="33"/>
      <c r="H9" s="3" t="str">
        <f t="shared" si="1"/>
        <v>Write a Formula !</v>
      </c>
      <c r="I9" s="3" t="str">
        <f t="shared" si="0"/>
        <v/>
      </c>
      <c r="K9">
        <f t="shared" si="2"/>
        <v>0</v>
      </c>
      <c r="L9" s="4" t="str">
        <f>FormulaText(G9)</f>
        <v/>
      </c>
      <c r="N9">
        <v>1</v>
      </c>
    </row>
    <row r="10" spans="1:14" x14ac:dyDescent="0.25">
      <c r="B10" t="s">
        <v>48</v>
      </c>
      <c r="C10" s="31">
        <f>C7*1.2</f>
        <v>136.07999999999998</v>
      </c>
      <c r="E10" s="28">
        <v>0.05</v>
      </c>
      <c r="F10" s="1"/>
      <c r="G10" s="33"/>
      <c r="H10" s="3" t="str">
        <f t="shared" si="1"/>
        <v>Write a Formula !</v>
      </c>
      <c r="I10" s="3" t="str">
        <f t="shared" si="0"/>
        <v/>
      </c>
      <c r="K10">
        <f t="shared" si="2"/>
        <v>0</v>
      </c>
      <c r="L10" s="4" t="str">
        <f>FormulaText(G10)</f>
        <v/>
      </c>
      <c r="N10">
        <v>1</v>
      </c>
    </row>
    <row r="11" spans="1:14" x14ac:dyDescent="0.25">
      <c r="G11" s="32"/>
      <c r="K11">
        <f t="shared" si="2"/>
        <v>0</v>
      </c>
      <c r="L11" s="4" t="str">
        <f>FormulaText(G11)</f>
        <v/>
      </c>
    </row>
    <row r="12" spans="1:14" x14ac:dyDescent="0.25">
      <c r="B12" t="s">
        <v>49</v>
      </c>
      <c r="D12"/>
      <c r="F12" s="1"/>
      <c r="G12" s="33"/>
      <c r="H12" s="3" t="str">
        <f t="shared" si="1"/>
        <v>Write a Formula !</v>
      </c>
      <c r="I12" s="3" t="str">
        <f>IF(G12=(SUM(G5:G10)),"Correct Value","")</f>
        <v>Correct Value</v>
      </c>
      <c r="K12">
        <f t="shared" si="2"/>
        <v>0</v>
      </c>
      <c r="L12" s="4" t="str">
        <f>FormulaText(G12)</f>
        <v/>
      </c>
      <c r="N12">
        <v>3</v>
      </c>
    </row>
  </sheetData>
  <phoneticPr fontId="8" type="noConversion"/>
  <conditionalFormatting sqref="H5:H10">
    <cfRule type="cellIs" dxfId="27" priority="3" stopIfTrue="1" operator="equal">
      <formula>"Write a Formula !"</formula>
    </cfRule>
  </conditionalFormatting>
  <conditionalFormatting sqref="H12">
    <cfRule type="cellIs" dxfId="26" priority="2" stopIfTrue="1" operator="equal">
      <formula>"Write a Formula !"</formula>
    </cfRule>
  </conditionalFormatting>
  <conditionalFormatting sqref="I5:I12">
    <cfRule type="cellIs" dxfId="25" priority="1" operator="equal">
      <formula>"Correct Value"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14</xdr:row>
                    <xdr:rowOff>76200</xdr:rowOff>
                  </from>
                  <to>
                    <xdr:col>4</xdr:col>
                    <xdr:colOff>666750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N22"/>
  <sheetViews>
    <sheetView workbookViewId="0">
      <selection activeCell="G3" sqref="G3"/>
    </sheetView>
  </sheetViews>
  <sheetFormatPr defaultColWidth="11.42578125" defaultRowHeight="15" x14ac:dyDescent="0.25"/>
  <cols>
    <col min="1" max="1" width="21.7109375" bestFit="1" customWidth="1"/>
    <col min="2" max="2" width="18.28515625" customWidth="1"/>
    <col min="3" max="3" width="11.42578125" style="40" customWidth="1"/>
    <col min="4" max="4" width="11.42578125" style="2" customWidth="1"/>
    <col min="5" max="5" width="11.42578125" style="42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4" s="13" customFormat="1" ht="60" customHeight="1" x14ac:dyDescent="0.9">
      <c r="A1" s="12" t="s">
        <v>13</v>
      </c>
      <c r="B1" s="12">
        <f>Summary!B1</f>
        <v>0</v>
      </c>
      <c r="C1" s="15" t="s">
        <v>116</v>
      </c>
      <c r="D1" s="41">
        <f>N1</f>
        <v>10</v>
      </c>
      <c r="E1" s="41"/>
      <c r="F1" s="14"/>
      <c r="H1" s="15"/>
      <c r="I1" s="15"/>
      <c r="K1" s="13">
        <f>SUM(K3:K19)</f>
        <v>0</v>
      </c>
      <c r="L1" s="16"/>
      <c r="N1" s="13">
        <f>SUM(N3:N20)</f>
        <v>10</v>
      </c>
    </row>
    <row r="2" spans="1:14" ht="18.75" x14ac:dyDescent="0.3">
      <c r="B2" s="75" t="s">
        <v>86</v>
      </c>
      <c r="C2" s="75"/>
    </row>
    <row r="3" spans="1:14" x14ac:dyDescent="0.25">
      <c r="A3" t="str">
        <f>IF(C3&gt;50,"Historical Data","")</f>
        <v>Historical Data</v>
      </c>
      <c r="B3" t="s">
        <v>53</v>
      </c>
      <c r="C3" s="39">
        <v>90</v>
      </c>
      <c r="E3" s="42" t="s">
        <v>70</v>
      </c>
      <c r="F3" s="1"/>
      <c r="G3" s="43"/>
      <c r="H3" s="3" t="str">
        <f>IF(LEFT(FormulaText(G3),1)="=","You used Formula","Write a Formula !")</f>
        <v>Write a Formula !</v>
      </c>
      <c r="I3" s="3" t="str">
        <f>IF(G3=(AVERAGE(C$3:C$22)),"Correct Value","")</f>
        <v/>
      </c>
      <c r="J3" s="74"/>
      <c r="K3">
        <f>IF(AND(H3="You used Formula",I3="Correct Value"),1,0)</f>
        <v>0</v>
      </c>
      <c r="L3" s="34" t="str">
        <f>FormulaText(G3)</f>
        <v/>
      </c>
      <c r="N3">
        <v>1</v>
      </c>
    </row>
    <row r="4" spans="1:14" x14ac:dyDescent="0.25">
      <c r="B4" t="s">
        <v>54</v>
      </c>
      <c r="C4" s="39">
        <f>C3*1.03</f>
        <v>92.7</v>
      </c>
      <c r="E4" s="42" t="s">
        <v>71</v>
      </c>
      <c r="G4" s="29"/>
      <c r="H4" s="3" t="str">
        <f>IF(LEFT(FormulaText(G4),1)="=","You used Formula","Write a Formula !")</f>
        <v>Write a Formula !</v>
      </c>
      <c r="I4" s="3" t="str">
        <f>IF(G4=(MIN(C$3:C$22)),"Correct Value","")</f>
        <v/>
      </c>
      <c r="K4">
        <f t="shared" ref="K4:K18" si="0">IF(AND(H4="You used Formula",I4="Correct Value"),1,0)</f>
        <v>0</v>
      </c>
      <c r="L4" s="34" t="str">
        <f>FormulaText(G4)</f>
        <v/>
      </c>
      <c r="N4">
        <v>1</v>
      </c>
    </row>
    <row r="5" spans="1:14" x14ac:dyDescent="0.25">
      <c r="B5" t="s">
        <v>55</v>
      </c>
      <c r="C5" s="39">
        <f t="shared" ref="C5:C17" si="1">C4*1.03</f>
        <v>95.481000000000009</v>
      </c>
      <c r="E5" s="42" t="s">
        <v>72</v>
      </c>
      <c r="F5" s="1"/>
      <c r="G5" s="29"/>
      <c r="H5" s="3" t="str">
        <f>IF(LEFT(FormulaText(G5),1)="=","You used Formula","Write a Formula !")</f>
        <v>Write a Formula !</v>
      </c>
      <c r="I5" s="3" t="str">
        <f>IF(G5=(MAX(C$3:C$22)),"Correct Value","")</f>
        <v/>
      </c>
      <c r="K5">
        <f t="shared" si="0"/>
        <v>0</v>
      </c>
      <c r="L5" s="34" t="str">
        <f>FormulaText(G5)</f>
        <v/>
      </c>
      <c r="N5">
        <v>1</v>
      </c>
    </row>
    <row r="6" spans="1:14" x14ac:dyDescent="0.25">
      <c r="B6" t="s">
        <v>56</v>
      </c>
      <c r="C6" s="39">
        <f t="shared" si="1"/>
        <v>98.345430000000007</v>
      </c>
      <c r="E6" s="42" t="s">
        <v>73</v>
      </c>
      <c r="G6" s="29"/>
      <c r="H6" s="3" t="str">
        <f>IF(LEFT(FormulaText(G6),1)="=","You used Formula","Write a Formula !")</f>
        <v>Write a Formula !</v>
      </c>
      <c r="I6" s="3" t="str">
        <f>IF(G6=(COUNT(C$3:C$22)),"Correct Value","")</f>
        <v/>
      </c>
      <c r="K6">
        <f t="shared" si="0"/>
        <v>0</v>
      </c>
      <c r="L6" s="34" t="str">
        <f>FormulaText(G6)</f>
        <v/>
      </c>
      <c r="N6">
        <v>1</v>
      </c>
    </row>
    <row r="7" spans="1:14" x14ac:dyDescent="0.25">
      <c r="A7" t="str">
        <f>IF(C7&gt;50,"Historical Data","")</f>
        <v>Historical Data</v>
      </c>
      <c r="B7" t="s">
        <v>57</v>
      </c>
      <c r="C7" s="39">
        <f t="shared" si="1"/>
        <v>101.29579290000001</v>
      </c>
      <c r="F7" s="42"/>
      <c r="G7" s="42"/>
      <c r="H7" s="42"/>
      <c r="I7" s="42"/>
      <c r="J7" s="42"/>
      <c r="K7" s="42"/>
      <c r="L7" s="34" t="str">
        <f>FormulaText(G7)</f>
        <v/>
      </c>
      <c r="M7" s="42"/>
    </row>
    <row r="8" spans="1:14" x14ac:dyDescent="0.25">
      <c r="B8" t="s">
        <v>58</v>
      </c>
      <c r="C8" s="39">
        <f t="shared" si="1"/>
        <v>104.33466668700001</v>
      </c>
      <c r="E8" s="42" t="s">
        <v>74</v>
      </c>
      <c r="G8" s="29"/>
      <c r="H8" s="3" t="str">
        <f>IF(LEFT(FormulaText(G8),1)="=","You used Formula","Write a Formula !")</f>
        <v>Write a Formula !</v>
      </c>
      <c r="I8" s="3" t="str">
        <f>IF(G8=(AVERAGE(C$3:C$19)),"Correct Value","")</f>
        <v/>
      </c>
      <c r="K8">
        <f t="shared" si="0"/>
        <v>0</v>
      </c>
      <c r="L8" s="34" t="str">
        <f>FormulaText(G8)</f>
        <v/>
      </c>
      <c r="N8">
        <v>0.5</v>
      </c>
    </row>
    <row r="9" spans="1:14" x14ac:dyDescent="0.25">
      <c r="A9" t="str">
        <f>IF(C9&gt;50,"Historical Data","")</f>
        <v>Historical Data</v>
      </c>
      <c r="B9" t="s">
        <v>59</v>
      </c>
      <c r="C9" s="39">
        <f t="shared" si="1"/>
        <v>107.46470668761002</v>
      </c>
      <c r="E9" s="42" t="s">
        <v>75</v>
      </c>
      <c r="G9" s="29"/>
      <c r="H9" s="3" t="str">
        <f>IF(LEFT(FormulaText(G9),1)="=","You used Formula","Write a Formula !")</f>
        <v>Write a Formula !</v>
      </c>
      <c r="I9" s="3" t="str">
        <f>IF(G9=(MIN(C$3:C$19)),"Correct Value","")</f>
        <v/>
      </c>
      <c r="K9">
        <f t="shared" si="0"/>
        <v>0</v>
      </c>
      <c r="L9" s="34" t="str">
        <f>FormulaText(G9)</f>
        <v/>
      </c>
      <c r="N9">
        <v>0.5</v>
      </c>
    </row>
    <row r="10" spans="1:14" x14ac:dyDescent="0.25">
      <c r="B10" t="s">
        <v>60</v>
      </c>
      <c r="C10" s="39">
        <f t="shared" si="1"/>
        <v>110.68864788823832</v>
      </c>
      <c r="E10" s="42" t="s">
        <v>76</v>
      </c>
      <c r="G10" s="29"/>
      <c r="H10" s="3" t="str">
        <f>IF(LEFT(FormulaText(G10),1)="=","You used Formula","Write a Formula !")</f>
        <v>Write a Formula !</v>
      </c>
      <c r="I10" s="3" t="str">
        <f>IF(G10=(MAX(C$3:C$19)),"Correct Value","")</f>
        <v/>
      </c>
      <c r="K10">
        <f t="shared" si="0"/>
        <v>0</v>
      </c>
      <c r="L10" s="34" t="str">
        <f>FormulaText(G10)</f>
        <v/>
      </c>
      <c r="N10">
        <v>1</v>
      </c>
    </row>
    <row r="11" spans="1:14" x14ac:dyDescent="0.25">
      <c r="A11" t="str">
        <f>IF(C11&gt;50,"Historical Data","")</f>
        <v>Historical Data</v>
      </c>
      <c r="B11" t="s">
        <v>61</v>
      </c>
      <c r="C11" s="39">
        <f t="shared" si="1"/>
        <v>114.00930732488547</v>
      </c>
      <c r="E11" s="42" t="s">
        <v>77</v>
      </c>
      <c r="G11" s="29"/>
      <c r="H11" s="3" t="str">
        <f>IF(LEFT(FormulaText(G11),1)="=","You used Formula","Write a Formula !")</f>
        <v>Write a Formula !</v>
      </c>
      <c r="I11" s="3" t="str">
        <f>IF(G11=(COUNT(C$3:C$19)),"Correct Value","")</f>
        <v/>
      </c>
      <c r="K11">
        <f t="shared" si="0"/>
        <v>0</v>
      </c>
      <c r="L11" s="34" t="str">
        <f>FormulaText(G11)</f>
        <v/>
      </c>
      <c r="N11">
        <v>1</v>
      </c>
    </row>
    <row r="12" spans="1:14" x14ac:dyDescent="0.25">
      <c r="B12" t="s">
        <v>62</v>
      </c>
      <c r="C12" s="39">
        <f t="shared" si="1"/>
        <v>117.42958654463203</v>
      </c>
      <c r="F12" s="42"/>
      <c r="G12" s="42"/>
      <c r="H12" s="42"/>
      <c r="I12" s="42"/>
      <c r="J12" s="42"/>
      <c r="K12" s="42"/>
      <c r="L12" s="34"/>
    </row>
    <row r="13" spans="1:14" x14ac:dyDescent="0.25">
      <c r="B13" t="s">
        <v>63</v>
      </c>
      <c r="C13" s="39">
        <f t="shared" si="1"/>
        <v>120.95247414097099</v>
      </c>
      <c r="E13" s="42" t="s">
        <v>78</v>
      </c>
      <c r="G13" s="29"/>
      <c r="H13" s="3" t="str">
        <f>IF(LEFT(FormulaText(G13),1)="=","You used Formula","Write a Formula !")</f>
        <v>Write a Formula !</v>
      </c>
      <c r="I13" s="3" t="str">
        <f>IF(G13=(AVERAGE(C$20:C$22)),"Correct Value","")</f>
        <v/>
      </c>
      <c r="K13">
        <f t="shared" si="0"/>
        <v>0</v>
      </c>
      <c r="L13" s="34" t="str">
        <f>FormulaText(G13)</f>
        <v/>
      </c>
      <c r="N13">
        <v>0.5</v>
      </c>
    </row>
    <row r="14" spans="1:14" x14ac:dyDescent="0.25">
      <c r="A14" t="s">
        <v>52</v>
      </c>
      <c r="B14" t="s">
        <v>64</v>
      </c>
      <c r="C14" s="39">
        <f t="shared" si="1"/>
        <v>124.58104836520012</v>
      </c>
      <c r="E14" s="42" t="s">
        <v>79</v>
      </c>
      <c r="G14" s="43"/>
      <c r="H14" s="3" t="str">
        <f>IF(LEFT(FormulaText(G14),1)="=","You used Formula","Write a Formula !")</f>
        <v>Write a Formula !</v>
      </c>
      <c r="I14" s="3" t="str">
        <f>IF(G14=(MIN(C$20:C$22)),"Correct Value","")</f>
        <v/>
      </c>
      <c r="K14">
        <f t="shared" si="0"/>
        <v>0</v>
      </c>
      <c r="L14" s="34" t="str">
        <f>FormulaText(G14)</f>
        <v/>
      </c>
      <c r="N14">
        <v>0.5</v>
      </c>
    </row>
    <row r="15" spans="1:14" x14ac:dyDescent="0.25">
      <c r="A15" t="s">
        <v>52</v>
      </c>
      <c r="B15" t="s">
        <v>65</v>
      </c>
      <c r="C15" s="39">
        <f t="shared" si="1"/>
        <v>128.31847981615613</v>
      </c>
      <c r="E15" s="42" t="s">
        <v>80</v>
      </c>
      <c r="G15" s="29"/>
      <c r="H15" s="3" t="str">
        <f>IF(LEFT(FormulaText(G15),1)="=","You used Formula","Write a Formula !")</f>
        <v>Write a Formula !</v>
      </c>
      <c r="I15" s="3" t="str">
        <f>IF(G15=(MAX(C$20:C$22)),"Correct Value","")</f>
        <v/>
      </c>
      <c r="K15">
        <f t="shared" si="0"/>
        <v>0</v>
      </c>
      <c r="L15" s="34" t="str">
        <f>FormulaText(G15)</f>
        <v/>
      </c>
      <c r="N15">
        <v>0.5</v>
      </c>
    </row>
    <row r="16" spans="1:14" x14ac:dyDescent="0.25">
      <c r="B16" t="s">
        <v>66</v>
      </c>
      <c r="C16" s="39">
        <f t="shared" si="1"/>
        <v>132.16803421064083</v>
      </c>
      <c r="E16" s="42" t="s">
        <v>81</v>
      </c>
      <c r="G16" s="29"/>
      <c r="H16" s="3" t="str">
        <f>IF(LEFT(FormulaText(G16),1)="=","You used Formula","Write a Formula !")</f>
        <v>Write a Formula !</v>
      </c>
      <c r="I16" s="3" t="str">
        <f>IF(G16=(COUNT(C$20:C$22)),"Correct Value","")</f>
        <v/>
      </c>
      <c r="K16">
        <f t="shared" si="0"/>
        <v>0</v>
      </c>
      <c r="L16" s="34" t="str">
        <f>FormulaText(G16)</f>
        <v/>
      </c>
      <c r="N16">
        <v>0.5</v>
      </c>
    </row>
    <row r="17" spans="1:14" x14ac:dyDescent="0.25">
      <c r="A17" t="str">
        <f>IF(C17&gt;50,"Historical Data","")</f>
        <v>Historical Data</v>
      </c>
      <c r="B17" t="s">
        <v>85</v>
      </c>
      <c r="C17" s="39">
        <f t="shared" si="1"/>
        <v>136.13307523696005</v>
      </c>
      <c r="F17" s="1"/>
      <c r="G17" s="1"/>
      <c r="H17" s="1"/>
      <c r="I17" s="1"/>
      <c r="L17" s="34" t="str">
        <f>FormulaText(G17)</f>
        <v/>
      </c>
    </row>
    <row r="18" spans="1:14" x14ac:dyDescent="0.25">
      <c r="A18" t="s">
        <v>52</v>
      </c>
      <c r="B18" t="s">
        <v>84</v>
      </c>
      <c r="C18" s="39">
        <v>100</v>
      </c>
      <c r="E18" s="42" t="s">
        <v>82</v>
      </c>
      <c r="G18" s="29"/>
      <c r="H18" s="3" t="str">
        <f>IF(LEFT(FormulaText(G18),1)="=","You used Formula","Write a Formula !")</f>
        <v>Write a Formula !</v>
      </c>
      <c r="I18" s="3" t="str">
        <f>IF(G18=(COUNTA(A$3:A$22)),"Correct Value","")</f>
        <v/>
      </c>
      <c r="K18">
        <f t="shared" si="0"/>
        <v>0</v>
      </c>
      <c r="L18" s="34" t="str">
        <f>FormulaText(G18)</f>
        <v/>
      </c>
      <c r="N18">
        <v>1</v>
      </c>
    </row>
    <row r="19" spans="1:14" x14ac:dyDescent="0.25">
      <c r="B19" t="s">
        <v>83</v>
      </c>
      <c r="C19" s="39">
        <v>63</v>
      </c>
    </row>
    <row r="20" spans="1:14" x14ac:dyDescent="0.25">
      <c r="B20" t="s">
        <v>67</v>
      </c>
      <c r="C20" s="39">
        <f>C5*1.8</f>
        <v>171.86580000000001</v>
      </c>
    </row>
    <row r="21" spans="1:14" x14ac:dyDescent="0.25">
      <c r="A21" t="str">
        <f>IF(C21&gt;50,"Historical Data","")</f>
        <v>Historical Data</v>
      </c>
      <c r="B21" t="s">
        <v>68</v>
      </c>
      <c r="C21" s="39">
        <f>C3*2</f>
        <v>180</v>
      </c>
    </row>
    <row r="22" spans="1:14" x14ac:dyDescent="0.25">
      <c r="B22" t="s">
        <v>69</v>
      </c>
      <c r="C22" s="39">
        <f>C5*0.05</f>
        <v>4.7740500000000008</v>
      </c>
    </row>
  </sheetData>
  <sheetProtection sheet="1" objects="1" scenarios="1"/>
  <mergeCells count="1">
    <mergeCell ref="B2:C2"/>
  </mergeCells>
  <conditionalFormatting sqref="H1:H6 H18:H1048576 H13:H16 H8:H11">
    <cfRule type="cellIs" dxfId="24" priority="2" stopIfTrue="1" operator="equal">
      <formula>"Write a Formula !"</formula>
    </cfRule>
  </conditionalFormatting>
  <conditionalFormatting sqref="I3:I18">
    <cfRule type="cellIs" dxfId="23" priority="1" operator="equal">
      <formula>"Correct Value"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18</xdr:row>
                    <xdr:rowOff>76200</xdr:rowOff>
                  </from>
                  <to>
                    <xdr:col>4</xdr:col>
                    <xdr:colOff>666750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5"/>
  <sheetViews>
    <sheetView topLeftCell="B1" workbookViewId="0">
      <selection activeCell="N9" sqref="N9"/>
    </sheetView>
  </sheetViews>
  <sheetFormatPr defaultColWidth="11.42578125" defaultRowHeight="15" x14ac:dyDescent="0.25"/>
  <cols>
    <col min="1" max="1" width="21.7109375" style="57" bestFit="1" customWidth="1"/>
    <col min="2" max="2" width="18.28515625" customWidth="1"/>
    <col min="3" max="3" width="11.42578125" style="44" customWidth="1"/>
    <col min="4" max="4" width="11.42578125" style="2" customWidth="1"/>
    <col min="5" max="5" width="11.7109375" style="42" customWidth="1"/>
    <col min="6" max="6" width="4.85546875" style="2" customWidth="1"/>
    <col min="7" max="7" width="11.42578125" customWidth="1"/>
    <col min="8" max="8" width="23" style="3" customWidth="1"/>
    <col min="9" max="9" width="14.28515625" style="3" customWidth="1"/>
    <col min="10" max="10" width="17.5703125" customWidth="1"/>
    <col min="11" max="11" width="11.85546875" bestFit="1" customWidth="1"/>
    <col min="12" max="12" width="15.42578125" style="4" customWidth="1"/>
    <col min="13" max="13" width="11.85546875" bestFit="1" customWidth="1"/>
  </cols>
  <sheetData>
    <row r="1" spans="1:14" s="13" customFormat="1" ht="60" customHeight="1" x14ac:dyDescent="0.9">
      <c r="A1" s="53" t="s">
        <v>13</v>
      </c>
      <c r="B1" s="12">
        <f>Summary!B1</f>
        <v>0</v>
      </c>
      <c r="C1" s="15" t="s">
        <v>116</v>
      </c>
      <c r="D1" s="41">
        <f>N1</f>
        <v>10</v>
      </c>
      <c r="E1" s="41" t="s">
        <v>107</v>
      </c>
      <c r="F1" s="14"/>
      <c r="H1" s="15"/>
      <c r="I1" s="15"/>
      <c r="K1" s="13">
        <f>SUM(K3:K22)</f>
        <v>0</v>
      </c>
      <c r="L1" s="16"/>
      <c r="N1" s="13">
        <f>SUM(N3:N22)</f>
        <v>10</v>
      </c>
    </row>
    <row r="2" spans="1:14" ht="36.75" customHeight="1" x14ac:dyDescent="0.3">
      <c r="A2" s="54" t="s">
        <v>98</v>
      </c>
      <c r="B2" s="45"/>
      <c r="C2" s="45"/>
      <c r="D2" s="30" t="s">
        <v>100</v>
      </c>
      <c r="E2" s="46" t="s">
        <v>99</v>
      </c>
      <c r="F2" s="30"/>
      <c r="G2" s="46" t="s">
        <v>101</v>
      </c>
    </row>
    <row r="3" spans="1:14" x14ac:dyDescent="0.25">
      <c r="A3" s="55"/>
      <c r="B3" t="s">
        <v>96</v>
      </c>
      <c r="C3" s="48">
        <v>36</v>
      </c>
      <c r="D3" s="49" t="s">
        <v>88</v>
      </c>
      <c r="E3" s="50">
        <f>ROUND(C$9/10,1)</f>
        <v>3.6</v>
      </c>
      <c r="F3" s="51"/>
      <c r="G3" s="29"/>
      <c r="H3" s="3" t="str">
        <f>IF(LEFT(FormulaText(G3),1)="=","You used Formula","&lt;- Write a Formula HERE !")</f>
        <v>&lt;- Write a Formula HERE !</v>
      </c>
      <c r="I3" s="3" t="str">
        <f>IF(IF(E3&lt;5,"no","yes")=G3,"Correct Value","")</f>
        <v/>
      </c>
      <c r="K3">
        <f>IF(AND(H3="You used Formula",I3="Correct Value"),N3,0)</f>
        <v>0</v>
      </c>
      <c r="L3" s="34" t="str">
        <f>FormulaText(G3)</f>
        <v/>
      </c>
      <c r="N3">
        <v>1</v>
      </c>
    </row>
    <row r="4" spans="1:14" x14ac:dyDescent="0.25">
      <c r="A4" s="55"/>
      <c r="B4" t="s">
        <v>97</v>
      </c>
      <c r="C4" s="2"/>
      <c r="D4" s="49" t="s">
        <v>89</v>
      </c>
      <c r="E4" s="50">
        <f>ROUND(C$9/20,1)</f>
        <v>1.8</v>
      </c>
      <c r="F4" s="51"/>
      <c r="G4" s="29"/>
      <c r="H4" s="3" t="str">
        <f>IF(LEFT(FormulaText(G4),1)="=","You used Formula","&lt;- Write a Formula HERE !")</f>
        <v>&lt;- Write a Formula HERE !</v>
      </c>
      <c r="I4" s="3" t="str">
        <f t="shared" ref="I4:I6" si="0">IF(IF(E4&lt;5,"no","yes")=G4,"Correct Value","")</f>
        <v/>
      </c>
      <c r="K4">
        <f t="shared" ref="K4:K21" si="1">IF(AND(H4="You used Formula",I4="Correct Value"),N4,0)</f>
        <v>0</v>
      </c>
      <c r="L4" s="34" t="str">
        <f>FormulaText(G4)</f>
        <v/>
      </c>
      <c r="N4">
        <v>1</v>
      </c>
    </row>
    <row r="5" spans="1:14" x14ac:dyDescent="0.25">
      <c r="A5" s="55"/>
      <c r="C5" s="2"/>
      <c r="D5" s="49" t="s">
        <v>90</v>
      </c>
      <c r="E5" s="50">
        <f>ROUND(C$9/9,1)</f>
        <v>4</v>
      </c>
      <c r="F5" s="51"/>
      <c r="G5" s="29"/>
      <c r="H5" s="3" t="str">
        <f>IF(LEFT(FormulaText(G5),1)="=","You used Formula","&lt;- Write a Formula HERE !")</f>
        <v>&lt;- Write a Formula HERE !</v>
      </c>
      <c r="I5" s="3" t="str">
        <f t="shared" si="0"/>
        <v/>
      </c>
      <c r="K5">
        <f t="shared" si="1"/>
        <v>0</v>
      </c>
      <c r="L5" s="34" t="str">
        <f>FormulaText(G5)</f>
        <v/>
      </c>
      <c r="N5">
        <v>0.5</v>
      </c>
    </row>
    <row r="6" spans="1:14" x14ac:dyDescent="0.25">
      <c r="A6" s="55"/>
      <c r="C6" s="2"/>
      <c r="D6" s="49" t="s">
        <v>91</v>
      </c>
      <c r="E6" s="50">
        <f>ROUND(C$9/12,1)</f>
        <v>3</v>
      </c>
      <c r="F6" s="51"/>
      <c r="G6" s="29"/>
      <c r="H6" s="3" t="str">
        <f>IF(LEFT(FormulaText(G6),1)="=","You used Formula","&lt;- Write a Formula HERE !")</f>
        <v>&lt;- Write a Formula HERE !</v>
      </c>
      <c r="I6" s="3" t="str">
        <f t="shared" si="0"/>
        <v/>
      </c>
      <c r="K6">
        <f t="shared" si="1"/>
        <v>0</v>
      </c>
      <c r="L6" s="34" t="str">
        <f>FormulaText(G6)</f>
        <v/>
      </c>
      <c r="N6">
        <v>0.5</v>
      </c>
    </row>
    <row r="7" spans="1:14" ht="18.75" x14ac:dyDescent="0.25">
      <c r="A7" s="54" t="s">
        <v>108</v>
      </c>
      <c r="C7" s="2"/>
      <c r="D7" s="42"/>
      <c r="E7" s="3"/>
      <c r="F7" s="3"/>
      <c r="G7" s="3"/>
      <c r="I7" s="3" t="str">
        <f>IF(G7=$B$3,"Correct Value","")</f>
        <v/>
      </c>
      <c r="J7" s="42"/>
      <c r="L7" s="34" t="str">
        <f>FormulaText(G7)</f>
        <v/>
      </c>
      <c r="M7" s="42"/>
    </row>
    <row r="8" spans="1:14" ht="15.75" thickBot="1" x14ac:dyDescent="0.3">
      <c r="A8" s="55"/>
      <c r="C8" s="2" t="s">
        <v>106</v>
      </c>
      <c r="D8" s="30" t="s">
        <v>100</v>
      </c>
      <c r="E8" s="30" t="s">
        <v>103</v>
      </c>
      <c r="F8" s="30"/>
      <c r="G8" s="30" t="s">
        <v>102</v>
      </c>
      <c r="I8" s="3" t="str">
        <f>IF(G8=$B$3,"Correct Value","")</f>
        <v/>
      </c>
      <c r="L8" s="34"/>
    </row>
    <row r="9" spans="1:14" ht="16.5" thickTop="1" thickBot="1" x14ac:dyDescent="0.3">
      <c r="A9" s="55"/>
      <c r="B9" t="s">
        <v>104</v>
      </c>
      <c r="C9" s="47">
        <f>C3</f>
        <v>36</v>
      </c>
      <c r="D9" s="49" t="s">
        <v>92</v>
      </c>
      <c r="E9" s="50">
        <f>C9+1</f>
        <v>37</v>
      </c>
      <c r="F9" s="51"/>
      <c r="G9" s="29"/>
      <c r="H9" s="3" t="str">
        <f>IF(LEFT(FormulaText(G9),1)="=","You used Formula","&lt;- Write a Formula HERE !")</f>
        <v>&lt;- Write a Formula HERE !</v>
      </c>
      <c r="I9" s="3" t="str">
        <f>IF(IF(E9&gt;C$9,"Pass","Fail")=G9,"Correct Value","")</f>
        <v/>
      </c>
      <c r="K9">
        <f t="shared" si="1"/>
        <v>0</v>
      </c>
      <c r="L9" s="34" t="str">
        <f>FormulaText(G9)</f>
        <v/>
      </c>
      <c r="N9">
        <v>1</v>
      </c>
    </row>
    <row r="10" spans="1:14" ht="15.75" thickTop="1" x14ac:dyDescent="0.25">
      <c r="A10" s="55"/>
      <c r="B10" t="s">
        <v>105</v>
      </c>
      <c r="C10" s="2"/>
      <c r="D10" s="49" t="s">
        <v>93</v>
      </c>
      <c r="E10" s="50">
        <f>E9+4</f>
        <v>41</v>
      </c>
      <c r="F10" s="51"/>
      <c r="G10" s="29"/>
      <c r="H10" s="3" t="str">
        <f>IF(LEFT(FormulaText(G10),1)="=","You used Formula","&lt;- Write a Formula HERE !")</f>
        <v>&lt;- Write a Formula HERE !</v>
      </c>
      <c r="I10" s="3" t="str">
        <f t="shared" ref="I10:I12" si="2">IF(IF(E10&gt;C$9,"Pass","Fail")=G10,"Correct Value","")</f>
        <v/>
      </c>
      <c r="K10">
        <f t="shared" si="1"/>
        <v>0</v>
      </c>
      <c r="L10" s="34" t="str">
        <f>FormulaText(G10)</f>
        <v/>
      </c>
      <c r="N10">
        <v>0.5</v>
      </c>
    </row>
    <row r="11" spans="1:14" x14ac:dyDescent="0.25">
      <c r="A11" s="55"/>
      <c r="C11" s="2"/>
      <c r="D11" s="49" t="s">
        <v>94</v>
      </c>
      <c r="E11" s="50">
        <f>C$9-6</f>
        <v>30</v>
      </c>
      <c r="F11" s="51"/>
      <c r="G11" s="29"/>
      <c r="H11" s="3" t="str">
        <f>IF(LEFT(FormulaText(G11),1)="=","You used Formula","&lt;- Write a Formula HERE !")</f>
        <v>&lt;- Write a Formula HERE !</v>
      </c>
      <c r="I11" s="3" t="str">
        <f t="shared" si="2"/>
        <v/>
      </c>
      <c r="K11">
        <f t="shared" si="1"/>
        <v>0</v>
      </c>
      <c r="L11" s="34" t="str">
        <f>FormulaText(G11)</f>
        <v/>
      </c>
      <c r="N11">
        <v>0.5</v>
      </c>
    </row>
    <row r="12" spans="1:14" x14ac:dyDescent="0.25">
      <c r="A12" s="55"/>
      <c r="C12" s="2"/>
      <c r="D12" s="49" t="s">
        <v>95</v>
      </c>
      <c r="E12" s="50">
        <f>E11-6</f>
        <v>24</v>
      </c>
      <c r="F12" s="51"/>
      <c r="G12" s="29"/>
      <c r="H12" s="3" t="str">
        <f>IF(LEFT(FormulaText(G12),1)="=","You used Formula","&lt;- Write a Formula HERE !")</f>
        <v>&lt;- Write a Formula HERE !</v>
      </c>
      <c r="I12" s="3" t="str">
        <f t="shared" si="2"/>
        <v/>
      </c>
      <c r="J12" s="42"/>
      <c r="K12">
        <f t="shared" si="1"/>
        <v>0</v>
      </c>
      <c r="L12" s="34" t="str">
        <f>FormulaText(G12)</f>
        <v/>
      </c>
      <c r="N12">
        <v>0.5</v>
      </c>
    </row>
    <row r="13" spans="1:14" x14ac:dyDescent="0.25">
      <c r="A13" s="55"/>
      <c r="C13" s="2"/>
      <c r="D13" s="3"/>
      <c r="E13" s="3"/>
      <c r="F13" s="3"/>
      <c r="G13" s="3"/>
      <c r="J13" s="42"/>
      <c r="L13" s="34"/>
    </row>
    <row r="14" spans="1:14" x14ac:dyDescent="0.25">
      <c r="A14" s="55"/>
      <c r="C14" s="2"/>
      <c r="D14" s="3"/>
      <c r="E14" s="3"/>
      <c r="F14" s="3"/>
      <c r="G14" s="3"/>
      <c r="J14" s="42"/>
      <c r="L14" s="34"/>
    </row>
    <row r="15" spans="1:14" x14ac:dyDescent="0.25">
      <c r="A15" s="56" t="s">
        <v>111</v>
      </c>
      <c r="C15" s="2"/>
      <c r="D15" s="3"/>
      <c r="E15" s="3"/>
      <c r="F15" s="3"/>
      <c r="G15" s="3"/>
      <c r="J15" s="42"/>
      <c r="L15" s="34"/>
    </row>
    <row r="16" spans="1:14" ht="30" x14ac:dyDescent="0.25">
      <c r="A16" s="54" t="s">
        <v>109</v>
      </c>
      <c r="C16" s="2"/>
      <c r="D16" s="30" t="s">
        <v>100</v>
      </c>
      <c r="E16" s="30" t="s">
        <v>103</v>
      </c>
      <c r="F16" s="42"/>
      <c r="G16" s="46" t="s">
        <v>110</v>
      </c>
      <c r="H16" s="42"/>
      <c r="L16" s="34"/>
    </row>
    <row r="17" spans="2:14" x14ac:dyDescent="0.25">
      <c r="B17" t="s">
        <v>112</v>
      </c>
      <c r="C17" s="2">
        <v>30</v>
      </c>
      <c r="D17" s="49" t="s">
        <v>92</v>
      </c>
      <c r="E17" s="50">
        <f>E9</f>
        <v>37</v>
      </c>
      <c r="F17" s="51"/>
      <c r="G17" s="29"/>
      <c r="H17" s="3" t="str">
        <f>IF(LEFT(FormulaText(G17),1)="=","You used Formula","&lt;- Write a Formula HERE !")</f>
        <v>&lt;- Write a Formula HERE !</v>
      </c>
      <c r="I17" s="3" t="str">
        <f>IF(IF(E17&lt;C$17,"Red",IF(E17&lt;C$18,"Amber","Green"))=G17,"Correct Value","")</f>
        <v/>
      </c>
      <c r="K17">
        <f t="shared" si="1"/>
        <v>0</v>
      </c>
      <c r="L17" s="34" t="str">
        <f>FormulaText(G17)</f>
        <v/>
      </c>
      <c r="N17">
        <v>2</v>
      </c>
    </row>
    <row r="18" spans="2:14" x14ac:dyDescent="0.25">
      <c r="B18" t="s">
        <v>113</v>
      </c>
      <c r="C18" s="2">
        <v>50</v>
      </c>
      <c r="D18" s="49" t="s">
        <v>93</v>
      </c>
      <c r="E18" s="50">
        <f t="shared" ref="E18:E20" si="3">E10</f>
        <v>41</v>
      </c>
      <c r="F18" s="51"/>
      <c r="G18" s="29"/>
      <c r="H18" s="3" t="str">
        <f>IF(LEFT(FormulaText(G18),1)="=","You used Formula","&lt;- Write a Formula HERE !")</f>
        <v>&lt;- Write a Formula HERE !</v>
      </c>
      <c r="I18" s="3" t="str">
        <f t="shared" ref="I18:I20" si="4">IF(IF(E18&lt;C$17,"Red",IF(E18&lt;C$18,"Amber","Green"))=G18,"Correct Value","")</f>
        <v/>
      </c>
      <c r="K18">
        <f t="shared" si="1"/>
        <v>0</v>
      </c>
      <c r="L18" s="34" t="str">
        <f>FormulaText(G18)</f>
        <v/>
      </c>
      <c r="N18">
        <v>1</v>
      </c>
    </row>
    <row r="19" spans="2:14" x14ac:dyDescent="0.25">
      <c r="B19" t="s">
        <v>114</v>
      </c>
      <c r="C19" s="2">
        <v>50</v>
      </c>
      <c r="D19" s="49" t="s">
        <v>94</v>
      </c>
      <c r="E19" s="50">
        <f t="shared" si="3"/>
        <v>30</v>
      </c>
      <c r="F19" s="51"/>
      <c r="G19" s="29"/>
      <c r="H19" s="3" t="str">
        <f>IF(LEFT(FormulaText(G19),1)="=","You used Formula","&lt;- Write a Formula HERE !")</f>
        <v>&lt;- Write a Formula HERE !</v>
      </c>
      <c r="I19" s="3" t="str">
        <f t="shared" si="4"/>
        <v/>
      </c>
      <c r="K19">
        <f t="shared" si="1"/>
        <v>0</v>
      </c>
      <c r="L19" s="34" t="str">
        <f>FormulaText(G19)</f>
        <v/>
      </c>
      <c r="N19">
        <v>1</v>
      </c>
    </row>
    <row r="20" spans="2:14" x14ac:dyDescent="0.25">
      <c r="C20" s="2"/>
      <c r="D20" s="49" t="s">
        <v>95</v>
      </c>
      <c r="E20" s="50">
        <f t="shared" si="3"/>
        <v>24</v>
      </c>
      <c r="F20" s="51"/>
      <c r="G20" s="29"/>
      <c r="H20" s="3" t="str">
        <f>IF(LEFT(FormulaText(G20),1)="=","You used Formula","&lt;- Write a Formula HERE !")</f>
        <v>&lt;- Write a Formula HERE !</v>
      </c>
      <c r="I20" s="3" t="str">
        <f t="shared" si="4"/>
        <v/>
      </c>
      <c r="K20">
        <f t="shared" si="1"/>
        <v>0</v>
      </c>
      <c r="L20" s="34" t="str">
        <f>FormulaText(G20)</f>
        <v/>
      </c>
      <c r="N20">
        <v>0.5</v>
      </c>
    </row>
    <row r="21" spans="2:14" x14ac:dyDescent="0.25">
      <c r="C21" s="3"/>
      <c r="D21" s="3"/>
      <c r="E21" s="3"/>
      <c r="F21" s="3"/>
      <c r="G21" s="3"/>
      <c r="I21" s="3" t="str">
        <f t="shared" ref="I21" si="5">IF(G21&gt;=C$9,"Correct Value","")</f>
        <v/>
      </c>
      <c r="K21">
        <f t="shared" si="1"/>
        <v>0</v>
      </c>
      <c r="L21" s="34" t="str">
        <f>FormulaText(G21)</f>
        <v/>
      </c>
    </row>
    <row r="22" spans="2:14" x14ac:dyDescent="0.25">
      <c r="C22" s="2"/>
      <c r="F22" s="42"/>
      <c r="G22" s="42"/>
    </row>
    <row r="23" spans="2:14" x14ac:dyDescent="0.25">
      <c r="C23" s="2"/>
      <c r="F23" s="42"/>
      <c r="G23" s="42"/>
    </row>
    <row r="24" spans="2:14" x14ac:dyDescent="0.25">
      <c r="C24" s="2"/>
    </row>
    <row r="25" spans="2:14" x14ac:dyDescent="0.25">
      <c r="C25" s="2"/>
    </row>
  </sheetData>
  <sheetProtection sheet="1" objects="1" scenarios="1"/>
  <conditionalFormatting sqref="H1:H15 H17:H20 H22:H1048576">
    <cfRule type="cellIs" dxfId="22" priority="17" stopIfTrue="1" operator="equal">
      <formula>"&lt;- Write a Formula HERE !"</formula>
    </cfRule>
  </conditionalFormatting>
  <conditionalFormatting sqref="I7:I21">
    <cfRule type="cellIs" dxfId="21" priority="15" operator="equal">
      <formula>"Correct Value"</formula>
    </cfRule>
  </conditionalFormatting>
  <conditionalFormatting sqref="E7:G8">
    <cfRule type="cellIs" dxfId="20" priority="14" stopIfTrue="1" operator="equal">
      <formula>"Write a Formula !"</formula>
    </cfRule>
  </conditionalFormatting>
  <conditionalFormatting sqref="H3:H6">
    <cfRule type="cellIs" dxfId="19" priority="13" operator="equal">
      <formula>"&lt;- Write a Forumla HERE"</formula>
    </cfRule>
  </conditionalFormatting>
  <conditionalFormatting sqref="H9">
    <cfRule type="cellIs" dxfId="18" priority="12" operator="equal">
      <formula>"&lt;- Write a Forumla HERE"</formula>
    </cfRule>
  </conditionalFormatting>
  <conditionalFormatting sqref="H10:H15">
    <cfRule type="cellIs" dxfId="17" priority="11" operator="equal">
      <formula>"&lt;- Write a Forumla HERE"</formula>
    </cfRule>
  </conditionalFormatting>
  <conditionalFormatting sqref="H17:H20">
    <cfRule type="cellIs" dxfId="16" priority="10" operator="equal">
      <formula>"&lt;- Write a Forumla HERE"</formula>
    </cfRule>
  </conditionalFormatting>
  <conditionalFormatting sqref="D15:G15">
    <cfRule type="cellIs" dxfId="15" priority="8" stopIfTrue="1" operator="equal">
      <formula>"&lt;- Write a Formula HERE !"</formula>
    </cfRule>
  </conditionalFormatting>
  <conditionalFormatting sqref="D15:G15">
    <cfRule type="cellIs" dxfId="14" priority="7" operator="equal">
      <formula>"&lt;- Write a Forumla HERE"</formula>
    </cfRule>
  </conditionalFormatting>
  <conditionalFormatting sqref="E16">
    <cfRule type="cellIs" dxfId="13" priority="6" stopIfTrue="1" operator="equal">
      <formula>"Write a Formula !"</formula>
    </cfRule>
  </conditionalFormatting>
  <conditionalFormatting sqref="C21:H21">
    <cfRule type="cellIs" dxfId="12" priority="5" operator="equal">
      <formula>"Correct Value"</formula>
    </cfRule>
  </conditionalFormatting>
  <conditionalFormatting sqref="I3">
    <cfRule type="cellIs" dxfId="11" priority="4" operator="equal">
      <formula>"Correct Value"</formula>
    </cfRule>
  </conditionalFormatting>
  <conditionalFormatting sqref="I4:I6">
    <cfRule type="cellIs" dxfId="10" priority="3" operator="equal">
      <formula>"Correct Value"</formula>
    </cfRule>
  </conditionalFormatting>
  <conditionalFormatting sqref="D13:G14">
    <cfRule type="cellIs" dxfId="9" priority="2" stopIfTrue="1" operator="equal">
      <formula>"&lt;- Write a Formula HERE !"</formula>
    </cfRule>
  </conditionalFormatting>
  <conditionalFormatting sqref="D13:G14">
    <cfRule type="cellIs" dxfId="8" priority="1" operator="equal">
      <formula>"&lt;- Write a Forumla HERE"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21</xdr:row>
                    <xdr:rowOff>76200</xdr:rowOff>
                  </from>
                  <to>
                    <xdr:col>4</xdr:col>
                    <xdr:colOff>666750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N21"/>
  <sheetViews>
    <sheetView tabSelected="1" workbookViewId="0">
      <selection activeCell="G4" sqref="G4"/>
    </sheetView>
  </sheetViews>
  <sheetFormatPr defaultColWidth="11.42578125" defaultRowHeight="15" x14ac:dyDescent="0.25"/>
  <cols>
    <col min="1" max="1" width="21.7109375" bestFit="1" customWidth="1"/>
    <col min="2" max="2" width="18.28515625" customWidth="1"/>
    <col min="3" max="3" width="7" style="40" bestFit="1" customWidth="1"/>
    <col min="4" max="4" width="11.42578125" style="2" customWidth="1"/>
    <col min="5" max="5" width="11.42578125" style="42" customWidth="1"/>
    <col min="6" max="6" width="11.42578125" style="2" customWidth="1"/>
    <col min="7" max="7" width="11.42578125" customWidth="1"/>
    <col min="8" max="8" width="17.5703125" style="3" customWidth="1"/>
    <col min="9" max="9" width="14.28515625" style="3" customWidth="1"/>
    <col min="10" max="10" width="17.5703125" customWidth="1"/>
    <col min="11" max="11" width="11.85546875" bestFit="1" customWidth="1"/>
    <col min="12" max="12" width="8.5703125" style="4" customWidth="1"/>
    <col min="13" max="13" width="7" customWidth="1"/>
  </cols>
  <sheetData>
    <row r="1" spans="1:14" s="13" customFormat="1" ht="60" customHeight="1" x14ac:dyDescent="0.9">
      <c r="A1" s="12" t="s">
        <v>13</v>
      </c>
      <c r="B1" s="12">
        <f>Summary!B1</f>
        <v>0</v>
      </c>
      <c r="C1" s="15" t="s">
        <v>116</v>
      </c>
      <c r="D1" s="41">
        <f>N1</f>
        <v>10</v>
      </c>
      <c r="E1" s="41" t="s">
        <v>107</v>
      </c>
      <c r="F1" s="14"/>
      <c r="H1" s="15"/>
      <c r="I1" s="15"/>
      <c r="K1" s="13">
        <f>SUM(K3:K18)</f>
        <v>0</v>
      </c>
      <c r="L1" s="16"/>
      <c r="N1" s="13">
        <f>SUM(N3:N19)</f>
        <v>10</v>
      </c>
    </row>
    <row r="2" spans="1:14" ht="18.75" x14ac:dyDescent="0.3">
      <c r="A2" s="73" t="s">
        <v>137</v>
      </c>
      <c r="B2" s="45"/>
      <c r="C2" s="45"/>
      <c r="I2" s="1" t="s">
        <v>120</v>
      </c>
      <c r="J2" s="61">
        <f>IF(C3&gt;60,0.2,0.175)</f>
        <v>0.2</v>
      </c>
    </row>
    <row r="3" spans="1:14" ht="15.75" x14ac:dyDescent="0.25">
      <c r="C3" s="72">
        <v>81</v>
      </c>
      <c r="D3" s="63" t="s">
        <v>40</v>
      </c>
      <c r="E3" s="64" t="s">
        <v>118</v>
      </c>
      <c r="F3" s="65" t="s">
        <v>119</v>
      </c>
      <c r="G3" s="64" t="s">
        <v>121</v>
      </c>
      <c r="L3" s="34"/>
    </row>
    <row r="4" spans="1:14" x14ac:dyDescent="0.25">
      <c r="B4" s="52" t="s">
        <v>132</v>
      </c>
      <c r="C4" s="51"/>
      <c r="D4" s="62">
        <v>1.55</v>
      </c>
      <c r="E4" s="51">
        <f>E11</f>
        <v>11</v>
      </c>
      <c r="F4" s="76"/>
      <c r="G4" s="67"/>
      <c r="H4" s="3" t="str">
        <f>IF(LEFT(FormulaText(G4),1)="=","You used Formula","Write a Formula !")</f>
        <v>Write a Formula !</v>
      </c>
      <c r="I4" s="3" t="str">
        <f>IF(G4=(D4*E4*J$2),"Correct Value","")</f>
        <v/>
      </c>
      <c r="K4">
        <f>IF(AND(H4="You used Formula",I4="Correct Value"),N4,0)</f>
        <v>0</v>
      </c>
      <c r="L4" s="34" t="str">
        <f>FormulaText(G4)</f>
        <v/>
      </c>
      <c r="N4">
        <v>1</v>
      </c>
    </row>
    <row r="5" spans="1:14" x14ac:dyDescent="0.25">
      <c r="B5" s="52" t="s">
        <v>133</v>
      </c>
      <c r="C5" s="51"/>
      <c r="D5" s="62">
        <f t="shared" ref="D5:D8" si="0">D4*1.03</f>
        <v>1.5965</v>
      </c>
      <c r="E5" s="51">
        <v>3</v>
      </c>
      <c r="F5" s="76"/>
      <c r="G5" s="67"/>
      <c r="H5" s="3" t="str">
        <f>IF(LEFT(FormulaText(G5),1)="=","You used Formula","Write a Formula !")</f>
        <v>Write a Formula !</v>
      </c>
      <c r="I5" s="3" t="str">
        <f t="shared" ref="I5:I8" si="1">IF(G5=(D5*E5*J$2),"Correct Value","")</f>
        <v/>
      </c>
      <c r="K5">
        <f t="shared" ref="K5:K8" si="2">IF(AND(H5="You used Formula",I5="Correct Value"),N5,0)</f>
        <v>0</v>
      </c>
      <c r="L5" s="34" t="str">
        <f>FormulaText(G5)</f>
        <v/>
      </c>
      <c r="N5">
        <v>2</v>
      </c>
    </row>
    <row r="6" spans="1:14" x14ac:dyDescent="0.25">
      <c r="B6" s="52" t="s">
        <v>134</v>
      </c>
      <c r="C6" s="51"/>
      <c r="D6" s="62">
        <f t="shared" si="0"/>
        <v>1.6443950000000001</v>
      </c>
      <c r="E6" s="51">
        <f>E4-2</f>
        <v>9</v>
      </c>
      <c r="F6" s="76"/>
      <c r="G6" s="29"/>
      <c r="H6" s="3" t="str">
        <f>IF(LEFT(FormulaText(G6),1)="=","You used Formula","Write a Formula !")</f>
        <v>Write a Formula !</v>
      </c>
      <c r="I6" s="3" t="str">
        <f t="shared" si="1"/>
        <v/>
      </c>
      <c r="K6">
        <f t="shared" si="2"/>
        <v>0</v>
      </c>
      <c r="L6" s="34" t="str">
        <f>FormulaText(G6)</f>
        <v/>
      </c>
      <c r="N6">
        <v>1</v>
      </c>
    </row>
    <row r="7" spans="1:14" x14ac:dyDescent="0.25">
      <c r="B7" s="52" t="s">
        <v>135</v>
      </c>
      <c r="C7" s="51"/>
      <c r="D7" s="62">
        <f t="shared" si="0"/>
        <v>1.69372685</v>
      </c>
      <c r="E7" s="51">
        <f>E4*3</f>
        <v>33</v>
      </c>
      <c r="F7" s="76"/>
      <c r="G7" s="29"/>
      <c r="H7" s="3" t="str">
        <f>IF(LEFT(FormulaText(G7),1)="=","You used Formula","Write a Formula !")</f>
        <v>Write a Formula !</v>
      </c>
      <c r="I7" s="3" t="str">
        <f t="shared" si="1"/>
        <v/>
      </c>
      <c r="J7" s="42"/>
      <c r="K7">
        <f t="shared" si="2"/>
        <v>0</v>
      </c>
      <c r="L7" s="34" t="str">
        <f>FormulaText(G7)</f>
        <v/>
      </c>
      <c r="M7" s="42"/>
      <c r="N7">
        <v>1</v>
      </c>
    </row>
    <row r="8" spans="1:14" x14ac:dyDescent="0.25">
      <c r="B8" s="52" t="s">
        <v>136</v>
      </c>
      <c r="C8" s="51"/>
      <c r="D8" s="62">
        <f t="shared" si="0"/>
        <v>1.7445386555</v>
      </c>
      <c r="E8" s="51">
        <v>4</v>
      </c>
      <c r="F8" s="76"/>
      <c r="G8" s="29"/>
      <c r="H8" s="3" t="str">
        <f>IF(LEFT(FormulaText(G8),1)="=","You used Formula","Write a Formula !")</f>
        <v>Write a Formula !</v>
      </c>
      <c r="I8" s="3" t="str">
        <f t="shared" si="1"/>
        <v/>
      </c>
      <c r="K8">
        <f t="shared" si="2"/>
        <v>0</v>
      </c>
      <c r="L8" s="34" t="str">
        <f>FormulaText(G8)</f>
        <v/>
      </c>
      <c r="N8">
        <v>1</v>
      </c>
    </row>
    <row r="9" spans="1:14" x14ac:dyDescent="0.25">
      <c r="C9" s="2"/>
      <c r="G9" s="3"/>
      <c r="L9" s="34" t="str">
        <f>FormulaText(G9)</f>
        <v/>
      </c>
    </row>
    <row r="10" spans="1:14" ht="45" x14ac:dyDescent="0.25">
      <c r="C10" s="69" t="s">
        <v>128</v>
      </c>
      <c r="D10" s="70"/>
      <c r="E10" s="71" t="s">
        <v>129</v>
      </c>
      <c r="F10" s="70"/>
      <c r="G10" s="71" t="s">
        <v>130</v>
      </c>
      <c r="L10" s="34" t="str">
        <f>FormulaText(G10)</f>
        <v>% of Students on Network</v>
      </c>
    </row>
    <row r="11" spans="1:14" x14ac:dyDescent="0.25">
      <c r="C11" s="66" t="s">
        <v>123</v>
      </c>
      <c r="D11" s="51"/>
      <c r="E11" s="51">
        <f>MOD(C3,14)</f>
        <v>11</v>
      </c>
      <c r="F11" s="51"/>
      <c r="G11" s="68"/>
      <c r="H11" s="3" t="str">
        <f>IF(LEFT(FormulaText(G11),1)="=","You used Formula","Write a Formula !")</f>
        <v>Write a Formula !</v>
      </c>
      <c r="I11" s="3" t="str">
        <f t="shared" ref="I11:I16" si="3">IF(E$17="","",IF(G11=(E11/E$17),"Correct Value",""))</f>
        <v/>
      </c>
      <c r="K11">
        <f t="shared" ref="K11:K17" si="4">IF(AND(H11="You used Formula",I11="Correct Value"),N11,0)</f>
        <v>0</v>
      </c>
      <c r="L11" s="34" t="str">
        <f>FormulaText(G11)</f>
        <v/>
      </c>
      <c r="N11">
        <v>1</v>
      </c>
    </row>
    <row r="12" spans="1:14" x14ac:dyDescent="0.25">
      <c r="C12" s="52" t="s">
        <v>124</v>
      </c>
      <c r="D12" s="51"/>
      <c r="E12" s="51">
        <v>8</v>
      </c>
      <c r="F12" s="49"/>
      <c r="G12" s="68"/>
      <c r="H12" s="3" t="str">
        <f>IF(LEFT(FormulaText(G12),1)="=","You used Formula","Write a Formula !")</f>
        <v>Write a Formula !</v>
      </c>
      <c r="I12" s="3" t="str">
        <f t="shared" si="3"/>
        <v/>
      </c>
      <c r="J12" s="42"/>
      <c r="K12">
        <f t="shared" si="4"/>
        <v>0</v>
      </c>
      <c r="L12" s="34" t="str">
        <f>FormulaText(G12)</f>
        <v/>
      </c>
      <c r="N12">
        <v>0.5</v>
      </c>
    </row>
    <row r="13" spans="1:14" x14ac:dyDescent="0.25">
      <c r="C13" s="52" t="s">
        <v>122</v>
      </c>
      <c r="D13" s="51"/>
      <c r="E13" s="51">
        <v>3</v>
      </c>
      <c r="F13" s="51"/>
      <c r="G13" s="68"/>
      <c r="H13" s="3" t="str">
        <f>IF(LEFT(FormulaText(G13),1)="=","You used Formula","Write a Formula !")</f>
        <v>Write a Formula !</v>
      </c>
      <c r="I13" s="3" t="str">
        <f t="shared" si="3"/>
        <v/>
      </c>
      <c r="K13">
        <f t="shared" si="4"/>
        <v>0</v>
      </c>
      <c r="L13" s="34" t="str">
        <f>FormulaText(G13)</f>
        <v/>
      </c>
      <c r="N13">
        <v>0.5</v>
      </c>
    </row>
    <row r="14" spans="1:14" x14ac:dyDescent="0.25">
      <c r="C14" s="52" t="s">
        <v>125</v>
      </c>
      <c r="D14" s="51"/>
      <c r="E14" s="51">
        <v>5</v>
      </c>
      <c r="F14" s="51"/>
      <c r="G14" s="68"/>
      <c r="H14" s="3" t="str">
        <f>IF(LEFT(FormulaText(G14),1)="=","You used Formula","Write a Formula !")</f>
        <v>Write a Formula !</v>
      </c>
      <c r="I14" s="3" t="str">
        <f t="shared" si="3"/>
        <v/>
      </c>
      <c r="K14">
        <f t="shared" si="4"/>
        <v>0</v>
      </c>
      <c r="L14" s="34" t="str">
        <f>FormulaText(G14)</f>
        <v/>
      </c>
      <c r="N14">
        <v>0.5</v>
      </c>
    </row>
    <row r="15" spans="1:14" x14ac:dyDescent="0.25">
      <c r="C15" s="52" t="s">
        <v>126</v>
      </c>
      <c r="D15" s="51"/>
      <c r="E15" s="51">
        <v>2</v>
      </c>
      <c r="F15" s="51"/>
      <c r="G15" s="68"/>
      <c r="H15" s="3" t="str">
        <f>IF(LEFT(FormulaText(G15),1)="=","You used Formula","Write a Formula !")</f>
        <v>Write a Formula !</v>
      </c>
      <c r="I15" s="3" t="str">
        <f t="shared" si="3"/>
        <v/>
      </c>
      <c r="K15">
        <f t="shared" si="4"/>
        <v>0</v>
      </c>
      <c r="L15" s="34" t="str">
        <f>FormulaText(G15)</f>
        <v/>
      </c>
      <c r="N15">
        <v>0.5</v>
      </c>
    </row>
    <row r="16" spans="1:14" x14ac:dyDescent="0.25">
      <c r="C16" s="52" t="s">
        <v>127</v>
      </c>
      <c r="D16" s="51"/>
      <c r="E16" s="51">
        <v>5</v>
      </c>
      <c r="F16" s="51"/>
      <c r="G16" s="68"/>
      <c r="H16" s="3" t="str">
        <f>IF(LEFT(FormulaText(G16),1)="=","You used Formula","Write a Formula !")</f>
        <v>Write a Formula !</v>
      </c>
      <c r="I16" s="3" t="str">
        <f t="shared" si="3"/>
        <v/>
      </c>
      <c r="K16">
        <f t="shared" si="4"/>
        <v>0</v>
      </c>
      <c r="L16" s="34" t="str">
        <f>FormulaText(G16)</f>
        <v/>
      </c>
      <c r="N16">
        <v>0.5</v>
      </c>
    </row>
    <row r="17" spans="3:14" x14ac:dyDescent="0.25">
      <c r="C17" s="2" t="s">
        <v>49</v>
      </c>
      <c r="E17" s="77"/>
      <c r="G17" s="3"/>
      <c r="H17" s="3" t="str">
        <f>IF(LEFT(FormulaText(E17),1)="=","You used Formula","Write a Formula !")</f>
        <v>Write a Formula !</v>
      </c>
      <c r="I17" s="3" t="str">
        <f>IF(E17=SUM(E11:E16),"Correct Value","")</f>
        <v/>
      </c>
      <c r="K17">
        <f t="shared" si="4"/>
        <v>0</v>
      </c>
      <c r="L17" s="34"/>
      <c r="N17">
        <v>0.5</v>
      </c>
    </row>
    <row r="18" spans="3:14" x14ac:dyDescent="0.25">
      <c r="C18"/>
      <c r="D18"/>
      <c r="E18"/>
      <c r="F18"/>
      <c r="H18"/>
      <c r="I18"/>
    </row>
    <row r="19" spans="3:14" x14ac:dyDescent="0.25">
      <c r="C19"/>
    </row>
    <row r="20" spans="3:14" x14ac:dyDescent="0.25">
      <c r="C20"/>
    </row>
    <row r="21" spans="3:14" x14ac:dyDescent="0.25">
      <c r="C21"/>
    </row>
  </sheetData>
  <conditionalFormatting sqref="H8:H10 H1:H6 H18:H1048576">
    <cfRule type="cellIs" dxfId="7" priority="8" stopIfTrue="1" operator="equal">
      <formula>"Write a Formula !"</formula>
    </cfRule>
  </conditionalFormatting>
  <conditionalFormatting sqref="I3:I10">
    <cfRule type="cellIs" dxfId="6" priority="7" operator="equal">
      <formula>"Correct Value"</formula>
    </cfRule>
  </conditionalFormatting>
  <conditionalFormatting sqref="H7">
    <cfRule type="cellIs" dxfId="5" priority="6" stopIfTrue="1" operator="equal">
      <formula>"Write a Formula !"</formula>
    </cfRule>
  </conditionalFormatting>
  <conditionalFormatting sqref="G9">
    <cfRule type="cellIs" dxfId="4" priority="5" stopIfTrue="1" operator="equal">
      <formula>"Write a Formula !"</formula>
    </cfRule>
  </conditionalFormatting>
  <conditionalFormatting sqref="H11:H16">
    <cfRule type="cellIs" dxfId="3" priority="4" stopIfTrue="1" operator="equal">
      <formula>"Write a Formula !"</formula>
    </cfRule>
  </conditionalFormatting>
  <conditionalFormatting sqref="I11:I17">
    <cfRule type="cellIs" dxfId="2" priority="3" operator="equal">
      <formula>"Correct Value"</formula>
    </cfRule>
  </conditionalFormatting>
  <conditionalFormatting sqref="G17">
    <cfRule type="cellIs" dxfId="1" priority="2" stopIfTrue="1" operator="equal">
      <formula>"Write a Formula !"</formula>
    </cfRule>
  </conditionalFormatting>
  <conditionalFormatting sqref="H17">
    <cfRule type="cellIs" dxfId="0" priority="1" stopIfTrue="1" operator="equal">
      <formula>"Write a Formula !"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3</xdr:col>
                    <xdr:colOff>238125</xdr:colOff>
                    <xdr:row>17</xdr:row>
                    <xdr:rowOff>76200</xdr:rowOff>
                  </from>
                  <to>
                    <xdr:col>4</xdr:col>
                    <xdr:colOff>666750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"/>
  <sheetViews>
    <sheetView workbookViewId="0">
      <selection activeCell="A7" sqref="A7"/>
    </sheetView>
  </sheetViews>
  <sheetFormatPr defaultColWidth="11.42578125" defaultRowHeight="15" x14ac:dyDescent="0.25"/>
  <cols>
    <col min="1" max="1" width="13.85546875" customWidth="1"/>
  </cols>
  <sheetData>
    <row r="1" spans="1:3" ht="60" customHeight="1" x14ac:dyDescent="0.25">
      <c r="A1" t="s">
        <v>13</v>
      </c>
      <c r="B1">
        <f>SUM(B3:B28)</f>
        <v>0</v>
      </c>
      <c r="C1">
        <f>SUM(C3:C28)</f>
        <v>56</v>
      </c>
    </row>
    <row r="3" spans="1:3" x14ac:dyDescent="0.25">
      <c r="A3" t="s">
        <v>20</v>
      </c>
      <c r="B3">
        <f>Vocab!N1</f>
        <v>0</v>
      </c>
      <c r="C3">
        <f>Vocab!O1</f>
        <v>7</v>
      </c>
    </row>
    <row r="4" spans="1:3" x14ac:dyDescent="0.25">
      <c r="A4" t="s">
        <v>87</v>
      </c>
      <c r="B4">
        <f>'Shopping List'!K1</f>
        <v>0</v>
      </c>
      <c r="C4">
        <f>'Shopping List'!N1</f>
        <v>10</v>
      </c>
    </row>
    <row r="5" spans="1:3" x14ac:dyDescent="0.25">
      <c r="A5" t="s">
        <v>21</v>
      </c>
      <c r="B5">
        <f>'Basic Formula'!K1</f>
        <v>0</v>
      </c>
      <c r="C5">
        <f>'Basic Formula'!N1</f>
        <v>9</v>
      </c>
    </row>
    <row r="6" spans="1:3" x14ac:dyDescent="0.25">
      <c r="A6" t="s">
        <v>51</v>
      </c>
      <c r="B6">
        <f>Functions!K1</f>
        <v>0</v>
      </c>
      <c r="C6">
        <f>Functions!N1</f>
        <v>10</v>
      </c>
    </row>
    <row r="7" spans="1:3" x14ac:dyDescent="0.25">
      <c r="A7" t="s">
        <v>115</v>
      </c>
      <c r="B7">
        <f>'IF function'!K1</f>
        <v>0</v>
      </c>
      <c r="C7">
        <f>'IF function'!N1</f>
        <v>10</v>
      </c>
    </row>
    <row r="8" spans="1:3" x14ac:dyDescent="0.25">
      <c r="A8" t="s">
        <v>131</v>
      </c>
      <c r="B8">
        <f>'Absolute Reference'!K1</f>
        <v>0</v>
      </c>
      <c r="C8">
        <f>'Absolute Reference'!N1</f>
        <v>10</v>
      </c>
    </row>
  </sheetData>
  <sheetProtection sheet="1" objects="1" scenarios="1"/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Vocab</vt:lpstr>
      <vt:lpstr>Primark</vt:lpstr>
      <vt:lpstr>Basic Formula</vt:lpstr>
      <vt:lpstr>Shopping List</vt:lpstr>
      <vt:lpstr>Functions</vt:lpstr>
      <vt:lpstr>IF function</vt:lpstr>
      <vt:lpstr>Absolute Reference</vt:lpstr>
      <vt:lpstr>Summary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</cp:lastModifiedBy>
  <dcterms:created xsi:type="dcterms:W3CDTF">2012-08-17T14:22:11Z</dcterms:created>
  <dcterms:modified xsi:type="dcterms:W3CDTF">2013-11-12T10:31:38Z</dcterms:modified>
</cp:coreProperties>
</file>